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metadata.xml" ContentType="application/vnd.openxmlformats-officedocument.spreadsheetml.sheetMetadata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theme/themeOverride1.xml" ContentType="application/vnd.openxmlformats-officedocument.themeOverride+xml"/>
  <Override PartName="/xl/theme/themeOverride2.xml" ContentType="application/vnd.openxmlformats-officedocument.themeOverrid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4" activeTab="4"/>
  </bookViews>
  <sheets>
    <sheet name="GY测试报告模版（选择学员，即可一键生成）" sheetId="13" state="hidden" r:id="rId1"/>
    <sheet name="学员成绩（助教填）" sheetId="14" state="hidden" r:id="rId2"/>
    <sheet name="学习连贯性平时测试成绩（助教填）" sheetId="15" state="hidden" r:id="rId3"/>
    <sheet name="成绩等级（老师自己可修改）" sheetId="16" state="hidden" r:id="rId4"/>
    <sheet name="GY测试报告模版（选择学员，即可一键生成） (3)" sheetId="79" r:id="rId5"/>
  </sheets>
  <definedNames>
    <definedName name="学员名">OFFSET('学员成绩（助教填）'!$C$2,0,0,1,COUNTA('学员成绩（助教填）'!$2:$2)-COUNTA('学员成绩（助教填）'!$A$2:$B$2))</definedName>
    <definedName name="学员名" localSheetId="4">OFFSET(#REF!,0,0,1,COUNTA(#REF!)-COUNTA(#REF!))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<sst xmlns="http://schemas.openxmlformats.org/spreadsheetml/2006/main" count="302" uniqueCount="85">
  <si>
    <t>学员名</t>
  </si>
  <si>
    <t>肖任霆</t>
  </si>
  <si>
    <t>口语
（满分50分）</t>
  </si>
  <si>
    <t>笔试
（满分50分）</t>
  </si>
  <si>
    <t>总成绩
（满分100分）</t>
  </si>
  <si>
    <t>1. 试卷总体分析&amp;我与班级得分的对比</t>
  </si>
  <si>
    <t>2. 我的各模块掌握情况分析</t>
  </si>
  <si>
    <t>模块</t>
  </si>
  <si>
    <t>模块分值</t>
  </si>
  <si>
    <t>学员得分</t>
  </si>
  <si>
    <t>学员得分率</t>
  </si>
  <si>
    <t>班级平均得分率</t>
  </si>
  <si>
    <t>掌握情况</t>
  </si>
  <si>
    <t>学员模块评价与提升建议</t>
  </si>
  <si>
    <t>听力</t>
  </si>
  <si>
    <t>词汇</t>
  </si>
  <si>
    <t>语法</t>
  </si>
  <si>
    <t>阅读</t>
  </si>
  <si>
    <t>写作</t>
  </si>
  <si>
    <t>3. 我的学习连贯性&amp;平时测试情况</t>
  </si>
  <si>
    <r>
      <rPr>
        <sz val="26"/>
        <color rgb="FFC00000"/>
        <rFont val="黑体"/>
        <charset val="134"/>
      </rPr>
      <t>输入学员各模块的真实得分，计算</t>
    </r>
    <r>
      <rPr>
        <sz val="26"/>
        <color theme="9"/>
        <rFont val="黑体"/>
        <charset val="134"/>
      </rPr>
      <t>班级平均得分率</t>
    </r>
    <r>
      <rPr>
        <sz val="26"/>
        <color rgb="FFC00000"/>
        <rFont val="黑体"/>
        <charset val="134"/>
      </rPr>
      <t>。</t>
    </r>
  </si>
  <si>
    <t>沈彬</t>
  </si>
  <si>
    <t>李融泽</t>
  </si>
  <si>
    <t>郭睿欣</t>
  </si>
  <si>
    <t>胡衎</t>
  </si>
  <si>
    <t>杨瀚森</t>
  </si>
  <si>
    <t>谢谦益</t>
  </si>
  <si>
    <t>陆雨欣</t>
  </si>
  <si>
    <t>笔试成绩</t>
  </si>
  <si>
    <t>口语成绩</t>
  </si>
  <si>
    <t>学生名</t>
  </si>
  <si>
    <t>课次</t>
  </si>
  <si>
    <t>课堂出勤</t>
  </si>
  <si>
    <t>词汇检测</t>
  </si>
  <si>
    <t>语法检测</t>
  </si>
  <si>
    <t>按时出勤</t>
  </si>
  <si>
    <t>首课暂无此项</t>
  </si>
  <si>
    <t>13/13</t>
  </si>
  <si>
    <t>9/10</t>
  </si>
  <si>
    <t>8/9</t>
  </si>
  <si>
    <t>8/10</t>
  </si>
  <si>
    <t>14/14</t>
  </si>
  <si>
    <t xml:space="preserve"> 13/14</t>
  </si>
  <si>
    <t xml:space="preserve"> 12/15</t>
  </si>
  <si>
    <t>9/11</t>
  </si>
  <si>
    <t>6/10</t>
  </si>
  <si>
    <t>/</t>
  </si>
  <si>
    <t>7/10</t>
  </si>
  <si>
    <t>9/9</t>
  </si>
  <si>
    <t>13/14</t>
  </si>
  <si>
    <t>11/14</t>
  </si>
  <si>
    <t xml:space="preserve"> 10/15</t>
  </si>
  <si>
    <t>轻微迟到</t>
  </si>
  <si>
    <t>8/11</t>
  </si>
  <si>
    <t>已补课</t>
  </si>
  <si>
    <t>13/13.</t>
  </si>
  <si>
    <t>10/10.</t>
  </si>
  <si>
    <t>12/14.</t>
  </si>
  <si>
    <t>8/10.</t>
  </si>
  <si>
    <t>12/14</t>
  </si>
  <si>
    <t>13/15</t>
  </si>
  <si>
    <t>11/11</t>
  </si>
  <si>
    <t>‘9/10</t>
  </si>
  <si>
    <t>11/13</t>
  </si>
  <si>
    <t>5/10</t>
  </si>
  <si>
    <t>9/14</t>
  </si>
  <si>
    <t>跨班补课</t>
  </si>
  <si>
    <t>‘9/11’</t>
  </si>
  <si>
    <t>10/13</t>
  </si>
  <si>
    <t xml:space="preserve">	首课暂无此项</t>
  </si>
  <si>
    <t>12/13</t>
  </si>
  <si>
    <t>7/9</t>
  </si>
  <si>
    <t>18/23</t>
  </si>
  <si>
    <t>12/16</t>
  </si>
  <si>
    <t>10/10</t>
  </si>
  <si>
    <t>10/15</t>
  </si>
  <si>
    <t>请假</t>
  </si>
  <si>
    <t>得分率</t>
  </si>
  <si>
    <t>等级</t>
  </si>
  <si>
    <t>备注：得分率为等级下限</t>
  </si>
  <si>
    <t>一般</t>
  </si>
  <si>
    <t>中等</t>
  </si>
  <si>
    <t>良好</t>
  </si>
  <si>
    <t>优秀</t>
  </si>
  <si>
    <t>徐奕璠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</si>
</sst>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_ "/>
  </numFmts>
  <fonts count="79">
    <font>
      <sz val="11"/>
      <color theme="1"/>
      <name val="宋体"/>
      <charset val="162"/>
      <scheme val="minor"/>
    </font>
    <font>
      <sz val="12"/>
      <color theme="1"/>
      <name val="宋体"/>
      <charset val="134"/>
      <scheme val="minor"/>
    </font>
    <font>
      <sz val="12"/>
      <color theme="1"/>
      <name val="微软雅黑"/>
      <charset val="134"/>
    </font>
    <font>
      <sz val="11"/>
      <color theme="1"/>
      <name val="宋体"/>
      <charset val="134"/>
      <scheme val="minor"/>
    </font>
    <font>
      <sz val="36"/>
      <color theme="1"/>
      <name val="宋体"/>
      <charset val="134"/>
      <scheme val="minor"/>
    </font>
    <font>
      <b/>
      <sz val="55"/>
      <color theme="0"/>
      <name val="微软雅黑"/>
      <charset val="134"/>
    </font>
    <font>
      <sz val="48"/>
      <color theme="1"/>
      <name val="宋体"/>
      <charset val="134"/>
      <scheme val="minor"/>
    </font>
    <font>
      <sz val="36"/>
      <name val="微软雅黑"/>
      <charset val="134"/>
    </font>
    <font>
      <sz val="36"/>
      <color theme="1"/>
      <name val="微软雅黑"/>
      <charset val="134"/>
    </font>
    <font>
      <sz val="72"/>
      <color theme="1"/>
      <name val="宋体"/>
      <charset val="134"/>
      <scheme val="minor"/>
    </font>
    <font>
      <sz val="36"/>
      <color theme="0"/>
      <name val="微软雅黑"/>
      <charset val="134"/>
    </font>
    <font>
      <sz val="18"/>
      <color theme="1"/>
      <name val="宋体"/>
      <charset val="134"/>
      <scheme val="minor"/>
    </font>
    <font>
      <sz val="26"/>
      <color rgb="FFC00000"/>
      <name val="微软雅黑"/>
      <charset val="134"/>
    </font>
    <font>
      <sz val="18"/>
      <name val="宋体"/>
      <charset val="134"/>
      <scheme val="minor"/>
    </font>
    <font>
      <sz val="11"/>
      <color theme="1"/>
      <name val="微软雅黑"/>
      <charset val="134"/>
    </font>
    <font>
      <sz val="24"/>
      <color rgb="FFC00000"/>
      <name val="宋体"/>
      <charset val="134"/>
      <scheme val="minor"/>
    </font>
    <font>
      <b/>
      <sz val="24"/>
      <name val="微软雅黑"/>
      <charset val="134"/>
    </font>
    <font>
      <sz val="24"/>
      <name val="微软雅黑"/>
      <charset val="134"/>
    </font>
    <font>
      <sz val="28"/>
      <name val="微软雅黑"/>
      <charset val="134"/>
    </font>
    <font>
      <sz val="26"/>
      <name val="微软雅黑"/>
      <charset val="134"/>
    </font>
    <font>
      <sz val="28"/>
      <color theme="1"/>
      <name val="微软雅黑"/>
      <charset val="134"/>
    </font>
    <font>
      <sz val="28"/>
      <color theme="5"/>
      <name val="微软雅黑"/>
      <charset val="134"/>
    </font>
    <font>
      <sz val="24"/>
      <color theme="1"/>
      <name val="微软雅黑"/>
      <charset val="134"/>
    </font>
    <font>
      <sz val="11"/>
      <color rgb="FFC00000"/>
      <name val="宋体"/>
      <charset val="134"/>
      <scheme val="minor"/>
    </font>
    <font>
      <sz val="12"/>
      <color rgb="FF0F1115"/>
      <name val="Segoe UI"/>
      <charset val="134"/>
    </font>
    <font>
      <sz val="26"/>
      <color theme="1"/>
      <name val="微软雅黑"/>
      <charset val="134"/>
    </font>
    <font>
      <sz val="16"/>
      <color theme="1"/>
      <name val="微软雅黑"/>
      <charset val="134"/>
    </font>
    <font>
      <sz val="20"/>
      <color theme="9"/>
      <name val="宋体"/>
      <charset val="134"/>
      <scheme val="minor"/>
    </font>
    <font>
      <sz val="36"/>
      <color theme="0"/>
      <name val="微软雅黑"/>
      <charset val="134"/>
    </font>
    <font>
      <sz val="24"/>
      <color theme="1"/>
      <name val="微软雅黑"/>
      <charset val="134"/>
    </font>
    <font>
      <sz val="26"/>
      <color theme="1"/>
      <name val="微软雅黑"/>
      <charset val="134"/>
    </font>
    <font>
      <sz val="26"/>
      <color rgb="FFC00000"/>
      <name val="黑体"/>
      <charset val="134"/>
    </font>
    <font>
      <sz val="24"/>
      <name val="黑体"/>
      <charset val="134"/>
    </font>
    <font>
      <sz val="24"/>
      <color theme="1"/>
      <name val="黑体"/>
      <charset val="134"/>
    </font>
    <font>
      <sz val="28"/>
      <name val="黑体"/>
      <charset val="134"/>
    </font>
    <font>
      <sz val="28"/>
      <color theme="1"/>
      <name val="黑体"/>
      <charset val="134"/>
    </font>
    <font>
      <sz val="12"/>
      <color theme="1"/>
      <name val="宋体"/>
      <charset val="134"/>
      <scheme val="minor"/>
    </font>
    <font>
      <sz val="12"/>
      <color theme="1"/>
      <name val="微软雅黑"/>
      <charset val="134"/>
    </font>
    <font>
      <sz val="11"/>
      <color theme="1"/>
      <name val="宋体"/>
      <charset val="134"/>
      <scheme val="minor"/>
    </font>
    <font>
      <sz val="36"/>
      <color theme="1"/>
      <name val="宋体"/>
      <charset val="134"/>
      <scheme val="minor"/>
    </font>
    <font>
      <b/>
      <sz val="55"/>
      <color theme="0"/>
      <name val="微软雅黑"/>
      <charset val="134"/>
    </font>
    <font>
      <sz val="48"/>
      <color theme="1"/>
      <name val="宋体"/>
      <charset val="134"/>
      <scheme val="minor"/>
    </font>
    <font>
      <sz val="36"/>
      <name val="微软雅黑"/>
      <charset val="134"/>
    </font>
    <font>
      <sz val="36"/>
      <color theme="1"/>
      <name val="微软雅黑"/>
      <charset val="134"/>
    </font>
    <font>
      <sz val="72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sz val="26"/>
      <color rgb="FFC00000"/>
      <name val="微软雅黑"/>
      <charset val="134"/>
    </font>
    <font>
      <sz val="18"/>
      <name val="宋体"/>
      <charset val="134"/>
      <scheme val="minor"/>
    </font>
    <font>
      <sz val="11"/>
      <color theme="1"/>
      <name val="微软雅黑"/>
      <charset val="134"/>
    </font>
    <font>
      <sz val="24"/>
      <color rgb="FFC00000"/>
      <name val="宋体"/>
      <charset val="134"/>
      <scheme val="minor"/>
    </font>
    <font>
      <b/>
      <sz val="24"/>
      <name val="微软雅黑"/>
      <charset val="134"/>
    </font>
    <font>
      <sz val="24"/>
      <name val="微软雅黑"/>
      <charset val="134"/>
    </font>
    <font>
      <sz val="28"/>
      <name val="微软雅黑"/>
      <charset val="134"/>
    </font>
    <font>
      <sz val="26"/>
      <name val="微软雅黑"/>
      <charset val="134"/>
    </font>
    <font>
      <sz val="28"/>
      <color theme="1"/>
      <name val="微软雅黑"/>
      <charset val="134"/>
    </font>
    <font>
      <sz val="28"/>
      <color theme="5"/>
      <name val="微软雅黑"/>
      <charset val="134"/>
    </font>
    <font>
      <sz val="11"/>
      <color rgb="FFC00000"/>
      <name val="宋体"/>
      <charset val="134"/>
      <scheme val="minor"/>
    </font>
    <font>
      <sz val="16"/>
      <color theme="1"/>
      <name val="微软雅黑"/>
      <charset val="134"/>
    </font>
    <font>
      <sz val="20"/>
      <color theme="9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26"/>
      <color theme="9"/>
      <name val="黑体"/>
      <charset val="134"/>
    </font>
  </fonts>
  <fills count="42">
    <fill>
      <patternFill patternType="none"/>
    </fill>
    <fill>
      <patternFill patternType="gray125"/>
    </fill>
    <fill>
      <patternFill patternType="solid">
        <fgColor theme="2" tint="-0.099978637043366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51170384838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3" fontId="3" fillId="0" borderId="0" applyFont="0" applyFill="0" applyBorder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3" fillId="11" borderId="9" applyNumberFormat="0" applyFont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2" fillId="0" borderId="0" applyNumberFormat="0" applyFill="0" applyBorder="0" applyAlignment="0" applyProtection="0">
      <alignment vertical="center"/>
    </xf>
    <xf numFmtId="0" fontId="63" fillId="0" borderId="0" applyNumberFormat="0" applyFill="0" applyBorder="0" applyAlignment="0" applyProtection="0">
      <alignment vertical="center"/>
    </xf>
    <xf numFmtId="0" fontId="64" fillId="0" borderId="10" applyNumberFormat="0" applyFill="0" applyAlignment="0" applyProtection="0">
      <alignment vertical="center"/>
    </xf>
    <xf numFmtId="0" fontId="65" fillId="0" borderId="10" applyNumberFormat="0" applyFill="0" applyAlignment="0" applyProtection="0">
      <alignment vertical="center"/>
    </xf>
    <xf numFmtId="0" fontId="66" fillId="0" borderId="11" applyNumberFormat="0" applyFill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7" fillId="12" borderId="12" applyNumberFormat="0" applyAlignment="0" applyProtection="0">
      <alignment vertical="center"/>
    </xf>
    <xf numFmtId="0" fontId="68" fillId="13" borderId="13" applyNumberFormat="0" applyAlignment="0" applyProtection="0">
      <alignment vertical="center"/>
    </xf>
    <xf numFmtId="0" fontId="69" fillId="13" borderId="12" applyNumberFormat="0" applyAlignment="0" applyProtection="0">
      <alignment vertical="center"/>
    </xf>
    <xf numFmtId="0" fontId="70" fillId="14" borderId="14" applyNumberFormat="0" applyAlignment="0" applyProtection="0">
      <alignment vertical="center"/>
    </xf>
    <xf numFmtId="0" fontId="71" fillId="0" borderId="15" applyNumberFormat="0" applyFill="0" applyAlignment="0" applyProtection="0">
      <alignment vertical="center"/>
    </xf>
    <xf numFmtId="0" fontId="72" fillId="0" borderId="16" applyNumberFormat="0" applyFill="0" applyAlignment="0" applyProtection="0">
      <alignment vertical="center"/>
    </xf>
    <xf numFmtId="0" fontId="73" fillId="15" borderId="0" applyNumberFormat="0" applyBorder="0" applyAlignment="0" applyProtection="0">
      <alignment vertical="center"/>
    </xf>
    <xf numFmtId="0" fontId="74" fillId="16" borderId="0" applyNumberFormat="0" applyBorder="0" applyAlignment="0" applyProtection="0">
      <alignment vertical="center"/>
    </xf>
    <xf numFmtId="0" fontId="75" fillId="17" borderId="0" applyNumberFormat="0" applyBorder="0" applyAlignment="0" applyProtection="0">
      <alignment vertical="center"/>
    </xf>
    <xf numFmtId="0" fontId="76" fillId="18" borderId="0" applyNumberFormat="0" applyBorder="0" applyAlignment="0" applyProtection="0">
      <alignment vertical="center"/>
    </xf>
    <xf numFmtId="0" fontId="77" fillId="19" borderId="0" applyNumberFormat="0" applyBorder="0" applyAlignment="0" applyProtection="0">
      <alignment vertical="center"/>
    </xf>
    <xf numFmtId="0" fontId="77" fillId="20" borderId="0" applyNumberFormat="0" applyBorder="0" applyAlignment="0" applyProtection="0">
      <alignment vertical="center"/>
    </xf>
    <xf numFmtId="0" fontId="76" fillId="21" borderId="0" applyNumberFormat="0" applyBorder="0" applyAlignment="0" applyProtection="0">
      <alignment vertical="center"/>
    </xf>
    <xf numFmtId="0" fontId="76" fillId="22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77" fillId="24" borderId="0" applyNumberFormat="0" applyBorder="0" applyAlignment="0" applyProtection="0">
      <alignment vertical="center"/>
    </xf>
    <xf numFmtId="0" fontId="76" fillId="25" borderId="0" applyNumberFormat="0" applyBorder="0" applyAlignment="0" applyProtection="0">
      <alignment vertical="center"/>
    </xf>
    <xf numFmtId="0" fontId="76" fillId="26" borderId="0" applyNumberFormat="0" applyBorder="0" applyAlignment="0" applyProtection="0">
      <alignment vertical="center"/>
    </xf>
    <xf numFmtId="0" fontId="77" fillId="27" borderId="0" applyNumberFormat="0" applyBorder="0" applyAlignment="0" applyProtection="0">
      <alignment vertical="center"/>
    </xf>
    <xf numFmtId="0" fontId="77" fillId="28" borderId="0" applyNumberFormat="0" applyBorder="0" applyAlignment="0" applyProtection="0">
      <alignment vertical="center"/>
    </xf>
    <xf numFmtId="0" fontId="76" fillId="29" borderId="0" applyNumberFormat="0" applyBorder="0" applyAlignment="0" applyProtection="0">
      <alignment vertical="center"/>
    </xf>
    <xf numFmtId="0" fontId="76" fillId="30" borderId="0" applyNumberFormat="0" applyBorder="0" applyAlignment="0" applyProtection="0">
      <alignment vertical="center"/>
    </xf>
    <xf numFmtId="0" fontId="77" fillId="31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76" fillId="33" borderId="0" applyNumberFormat="0" applyBorder="0" applyAlignment="0" applyProtection="0">
      <alignment vertical="center"/>
    </xf>
    <xf numFmtId="0" fontId="76" fillId="34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76" fillId="37" borderId="0" applyNumberFormat="0" applyBorder="0" applyAlignment="0" applyProtection="0">
      <alignment vertical="center"/>
    </xf>
    <xf numFmtId="0" fontId="76" fillId="38" borderId="0" applyNumberFormat="0" applyBorder="0" applyAlignment="0" applyProtection="0">
      <alignment vertical="center"/>
    </xf>
    <xf numFmtId="0" fontId="77" fillId="39" borderId="0" applyNumberFormat="0" applyBorder="0" applyAlignment="0" applyProtection="0">
      <alignment vertical="center"/>
    </xf>
    <xf numFmtId="0" fontId="77" fillId="40" borderId="0" applyNumberFormat="0" applyBorder="0" applyAlignment="0" applyProtection="0">
      <alignment vertical="center"/>
    </xf>
    <xf numFmtId="0" fontId="76" fillId="41" borderId="0" applyNumberFormat="0" applyBorder="0" applyAlignment="0" applyProtection="0">
      <alignment vertical="center"/>
    </xf>
    <xf numFmtId="0" fontId="38" fillId="0" borderId="0"/>
  </cellStyleXfs>
  <cellXfs count="105">
    <xf numFmtId="0" fontId="0" fillId="0" borderId="0" xfId="0"/>
    <xf numFmtId="0" fontId="1" fillId="0" borderId="0" xfId="49" applyFont="1" applyFill="1" applyAlignment="1"/>
    <xf numFmtId="0" fontId="2" fillId="0" borderId="0" xfId="49" applyFont="1" applyFill="1" applyAlignment="1"/>
    <xf numFmtId="0" fontId="3" fillId="0" borderId="0" xfId="49" applyFont="1" applyFill="1" applyAlignment="1"/>
    <xf numFmtId="0" fontId="3" fillId="0" borderId="0" xfId="49" applyFont="1" applyFill="1" applyAlignment="1">
      <alignment horizontal="center"/>
    </xf>
    <xf numFmtId="0" fontId="4" fillId="2" borderId="1" xfId="0" applyFont="1" applyFill="1" applyBorder="1" applyAlignment="1"/>
    <xf numFmtId="0" fontId="3" fillId="0" borderId="0" xfId="0" applyFont="1" applyFill="1" applyAlignment="1"/>
    <xf numFmtId="0" fontId="5" fillId="3" borderId="1" xfId="49" applyFont="1" applyFill="1" applyBorder="1" applyAlignment="1">
      <alignment horizontal="center" vertical="center" wrapText="1"/>
    </xf>
    <xf numFmtId="0" fontId="6" fillId="2" borderId="1" xfId="0" applyFont="1" applyFill="1" applyBorder="1" applyAlignment="1"/>
    <xf numFmtId="0" fontId="4" fillId="0" borderId="0" xfId="49" applyFont="1" applyFill="1" applyAlignment="1">
      <alignment vertical="center"/>
    </xf>
    <xf numFmtId="0" fontId="7" fillId="4" borderId="1" xfId="49" applyFont="1" applyFill="1" applyBorder="1" applyAlignment="1">
      <alignment horizontal="center" vertical="center" wrapText="1"/>
    </xf>
    <xf numFmtId="0" fontId="8" fillId="4" borderId="1" xfId="49" applyFont="1" applyFill="1" applyBorder="1" applyAlignment="1">
      <alignment horizontal="center" vertical="center"/>
    </xf>
    <xf numFmtId="0" fontId="9" fillId="0" borderId="0" xfId="0" applyFont="1" applyFill="1" applyAlignment="1"/>
    <xf numFmtId="0" fontId="10" fillId="3" borderId="1" xfId="49" applyFont="1" applyFill="1" applyBorder="1" applyAlignment="1">
      <alignment horizontal="center" vertical="center"/>
    </xf>
    <xf numFmtId="0" fontId="11" fillId="0" borderId="0" xfId="49" applyFont="1" applyFill="1" applyAlignment="1">
      <alignment vertical="top" wrapText="1"/>
    </xf>
    <xf numFmtId="0" fontId="12" fillId="0" borderId="0" xfId="49" applyFont="1" applyFill="1" applyAlignment="1">
      <alignment vertical="center" wrapText="1"/>
    </xf>
    <xf numFmtId="0" fontId="13" fillId="0" borderId="0" xfId="49" applyFont="1" applyFill="1" applyAlignment="1">
      <alignment vertical="center" wrapText="1"/>
    </xf>
    <xf numFmtId="0" fontId="14" fillId="4" borderId="1" xfId="0" applyFont="1" applyFill="1" applyBorder="1" applyAlignment="1">
      <alignment horizontal="center"/>
    </xf>
    <xf numFmtId="0" fontId="15" fillId="0" borderId="0" xfId="49" applyFont="1" applyFill="1" applyAlignment="1">
      <alignment vertical="center" wrapText="1"/>
    </xf>
    <xf numFmtId="0" fontId="13" fillId="0" borderId="0" xfId="49" applyFont="1" applyFill="1" applyAlignment="1">
      <alignment vertical="top" wrapText="1"/>
    </xf>
    <xf numFmtId="0" fontId="16" fillId="0" borderId="0" xfId="49" applyFont="1" applyFill="1" applyAlignment="1">
      <alignment vertical="center" wrapText="1"/>
    </xf>
    <xf numFmtId="0" fontId="17" fillId="4" borderId="1" xfId="49" applyFont="1" applyFill="1" applyBorder="1" applyAlignment="1">
      <alignment horizontal="center" vertical="center"/>
    </xf>
    <xf numFmtId="0" fontId="18" fillId="4" borderId="1" xfId="49" applyFont="1" applyFill="1" applyBorder="1" applyAlignment="1">
      <alignment horizontal="center" vertical="center"/>
    </xf>
    <xf numFmtId="0" fontId="19" fillId="4" borderId="1" xfId="49" applyFont="1" applyFill="1" applyBorder="1" applyAlignment="1">
      <alignment horizontal="center" vertical="center"/>
    </xf>
    <xf numFmtId="176" fontId="18" fillId="0" borderId="1" xfId="49" applyNumberFormat="1" applyFont="1" applyFill="1" applyBorder="1" applyAlignment="1">
      <alignment horizontal="center" vertical="center"/>
    </xf>
    <xf numFmtId="9" fontId="18" fillId="0" borderId="1" xfId="49" applyNumberFormat="1" applyFont="1" applyFill="1" applyBorder="1" applyAlignment="1">
      <alignment horizontal="center" vertical="center"/>
    </xf>
    <xf numFmtId="9" fontId="20" fillId="4" borderId="1" xfId="49" applyNumberFormat="1" applyFont="1" applyFill="1" applyBorder="1" applyAlignment="1">
      <alignment horizontal="center" vertical="center"/>
    </xf>
    <xf numFmtId="9" fontId="21" fillId="0" borderId="1" xfId="49" applyNumberFormat="1" applyFont="1" applyFill="1" applyBorder="1" applyAlignment="1">
      <alignment horizontal="center" vertical="center"/>
    </xf>
    <xf numFmtId="0" fontId="22" fillId="0" borderId="1" xfId="49" applyFont="1" applyFill="1" applyBorder="1" applyAlignment="1">
      <alignment horizontal="center" vertical="center" wrapText="1"/>
    </xf>
    <xf numFmtId="0" fontId="23" fillId="0" borderId="0" xfId="49" applyFont="1" applyFill="1" applyAlignment="1">
      <alignment vertical="center"/>
    </xf>
    <xf numFmtId="0" fontId="22" fillId="4" borderId="1" xfId="49" applyFont="1" applyFill="1" applyBorder="1" applyAlignment="1">
      <alignment horizontal="center" vertical="center" wrapText="1"/>
    </xf>
    <xf numFmtId="0" fontId="22" fillId="4" borderId="1" xfId="49" applyFont="1" applyFill="1" applyBorder="1" applyAlignment="1">
      <alignment horizontal="center" vertical="center"/>
    </xf>
    <xf numFmtId="0" fontId="24" fillId="0" borderId="0" xfId="0" applyFont="1" applyFill="1" applyAlignment="1"/>
    <xf numFmtId="0" fontId="3" fillId="0" borderId="0" xfId="0" applyFont="1" applyFill="1" applyAlignment="1">
      <alignment wrapText="1"/>
    </xf>
    <xf numFmtId="9" fontId="22" fillId="4" borderId="1" xfId="3" applyFont="1" applyFill="1" applyBorder="1" applyAlignment="1" applyProtection="1">
      <alignment horizontal="center" vertical="center" wrapText="1"/>
    </xf>
    <xf numFmtId="0" fontId="25" fillId="4" borderId="1" xfId="49" applyFont="1" applyFill="1" applyBorder="1" applyAlignment="1">
      <alignment horizontal="center" vertical="center"/>
    </xf>
    <xf numFmtId="0" fontId="26" fillId="0" borderId="0" xfId="49" applyFont="1" applyFill="1" applyAlignment="1">
      <alignment vertical="center"/>
    </xf>
    <xf numFmtId="0" fontId="12" fillId="0" borderId="0" xfId="49" applyFont="1" applyFill="1" applyAlignment="1">
      <alignment horizontal="left" vertical="center" wrapText="1"/>
    </xf>
    <xf numFmtId="0" fontId="27" fillId="0" borderId="0" xfId="49" applyFont="1" applyFill="1" applyAlignment="1">
      <alignment horizontal="left" vertical="center" wrapText="1"/>
    </xf>
    <xf numFmtId="0" fontId="3" fillId="5" borderId="1" xfId="0" applyFont="1" applyFill="1" applyBorder="1" applyAlignment="1">
      <alignment horizontal="center"/>
    </xf>
    <xf numFmtId="9" fontId="3" fillId="5" borderId="1" xfId="0" applyNumberFormat="1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49" fontId="3" fillId="0" borderId="0" xfId="0" applyNumberFormat="1" applyFont="1" applyFill="1" applyAlignment="1"/>
    <xf numFmtId="0" fontId="3" fillId="0" borderId="0" xfId="0" applyFont="1" applyFill="1" applyAlignment="1">
      <alignment horizontal="center"/>
    </xf>
    <xf numFmtId="0" fontId="28" fillId="6" borderId="1" xfId="49" applyFont="1" applyFill="1" applyBorder="1" applyAlignment="1">
      <alignment horizontal="center" vertical="center"/>
    </xf>
    <xf numFmtId="0" fontId="29" fillId="5" borderId="1" xfId="49" applyFont="1" applyFill="1" applyBorder="1" applyAlignment="1">
      <alignment horizontal="center" vertical="center"/>
    </xf>
    <xf numFmtId="49" fontId="29" fillId="5" borderId="1" xfId="49" applyNumberFormat="1" applyFont="1" applyFill="1" applyBorder="1" applyAlignment="1">
      <alignment horizontal="center" vertical="center" wrapText="1"/>
    </xf>
    <xf numFmtId="49" fontId="29" fillId="5" borderId="1" xfId="49" applyNumberFormat="1" applyFont="1" applyFill="1" applyBorder="1" applyAlignment="1">
      <alignment horizontal="center" vertical="center"/>
    </xf>
    <xf numFmtId="0" fontId="29" fillId="7" borderId="0" xfId="0" applyFont="1" applyFill="1" applyAlignment="1">
      <alignment horizontal="center"/>
    </xf>
    <xf numFmtId="0" fontId="30" fillId="5" borderId="1" xfId="49" applyFont="1" applyFill="1" applyBorder="1" applyAlignment="1">
      <alignment horizontal="center" vertical="center"/>
    </xf>
    <xf numFmtId="0" fontId="29" fillId="5" borderId="1" xfId="49" applyFont="1" applyFill="1" applyBorder="1" applyAlignment="1">
      <alignment horizontal="center" vertical="center" wrapText="1"/>
    </xf>
    <xf numFmtId="49" fontId="30" fillId="5" borderId="1" xfId="49" applyNumberFormat="1" applyFont="1" applyFill="1" applyBorder="1" applyAlignment="1">
      <alignment horizontal="center" vertical="center"/>
    </xf>
    <xf numFmtId="49" fontId="29" fillId="5" borderId="2" xfId="49" applyNumberFormat="1" applyFont="1" applyFill="1" applyBorder="1" applyAlignment="1">
      <alignment horizontal="center" vertical="center" wrapText="1"/>
    </xf>
    <xf numFmtId="49" fontId="29" fillId="5" borderId="3" xfId="49" applyNumberFormat="1" applyFont="1" applyFill="1" applyBorder="1" applyAlignment="1">
      <alignment horizontal="center" vertical="center" wrapText="1"/>
    </xf>
    <xf numFmtId="0" fontId="30" fillId="5" borderId="4" xfId="49" applyFont="1" applyFill="1" applyBorder="1" applyAlignment="1">
      <alignment horizontal="center" vertical="center"/>
    </xf>
    <xf numFmtId="49" fontId="29" fillId="5" borderId="4" xfId="49" applyNumberFormat="1" applyFont="1" applyFill="1" applyBorder="1" applyAlignment="1">
      <alignment horizontal="center" vertical="center" wrapText="1"/>
    </xf>
    <xf numFmtId="0" fontId="31" fillId="8" borderId="5" xfId="49" applyFont="1" applyFill="1" applyBorder="1" applyAlignment="1">
      <alignment horizontal="center" vertical="center" wrapText="1"/>
    </xf>
    <xf numFmtId="0" fontId="32" fillId="7" borderId="5" xfId="49" applyFont="1" applyFill="1" applyBorder="1" applyAlignment="1">
      <alignment horizontal="center" vertical="center" wrapText="1"/>
    </xf>
    <xf numFmtId="0" fontId="33" fillId="7" borderId="5" xfId="49" applyFont="1" applyFill="1" applyBorder="1" applyAlignment="1">
      <alignment horizontal="center" vertical="center" wrapText="1"/>
    </xf>
    <xf numFmtId="0" fontId="34" fillId="9" borderId="5" xfId="49" applyFont="1" applyFill="1" applyBorder="1" applyAlignment="1">
      <alignment horizontal="center" vertical="center"/>
    </xf>
    <xf numFmtId="176" fontId="35" fillId="7" borderId="5" xfId="49" applyNumberFormat="1" applyFont="1" applyFill="1" applyBorder="1" applyAlignment="1">
      <alignment horizontal="center" vertical="center"/>
    </xf>
    <xf numFmtId="176" fontId="33" fillId="0" borderId="5" xfId="49" applyNumberFormat="1" applyFont="1" applyBorder="1" applyAlignment="1">
      <alignment horizontal="center" vertical="center"/>
    </xf>
    <xf numFmtId="0" fontId="34" fillId="10" borderId="5" xfId="49" applyFont="1" applyFill="1" applyBorder="1" applyAlignment="1">
      <alignment horizontal="center" vertical="center"/>
    </xf>
    <xf numFmtId="176" fontId="35" fillId="10" borderId="6" xfId="49" applyNumberFormat="1" applyFont="1" applyFill="1" applyBorder="1" applyAlignment="1">
      <alignment horizontal="center" vertical="center"/>
    </xf>
    <xf numFmtId="176" fontId="33" fillId="10" borderId="5" xfId="49" applyNumberFormat="1" applyFont="1" applyFill="1" applyBorder="1" applyAlignment="1">
      <alignment horizontal="center" vertical="center"/>
    </xf>
    <xf numFmtId="0" fontId="34" fillId="5" borderId="7" xfId="49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/>
    </xf>
    <xf numFmtId="176" fontId="33" fillId="5" borderId="8" xfId="49" applyNumberFormat="1" applyFont="1" applyFill="1" applyBorder="1" applyAlignment="1">
      <alignment horizontal="center" vertical="center"/>
    </xf>
    <xf numFmtId="176" fontId="33" fillId="5" borderId="5" xfId="49" applyNumberFormat="1" applyFont="1" applyFill="1" applyBorder="1" applyAlignment="1">
      <alignment horizontal="center" vertical="center"/>
    </xf>
    <xf numFmtId="176" fontId="3" fillId="0" borderId="0" xfId="0" applyNumberFormat="1" applyFont="1" applyFill="1" applyAlignment="1">
      <alignment horizontal="center"/>
    </xf>
    <xf numFmtId="0" fontId="36" fillId="0" borderId="0" xfId="49" applyFont="1"/>
    <xf numFmtId="0" fontId="37" fillId="0" borderId="0" xfId="49" applyFont="1"/>
    <xf numFmtId="0" fontId="38" fillId="0" borderId="0" xfId="49"/>
    <xf numFmtId="0" fontId="38" fillId="0" borderId="0" xfId="49" applyAlignment="1">
      <alignment horizontal="center"/>
    </xf>
    <xf numFmtId="0" fontId="39" fillId="2" borderId="1" xfId="0" applyFont="1" applyFill="1" applyBorder="1" applyAlignment="1"/>
    <xf numFmtId="0" fontId="40" fillId="3" borderId="1" xfId="49" applyFont="1" applyFill="1" applyBorder="1" applyAlignment="1">
      <alignment horizontal="center" vertical="center" wrapText="1"/>
    </xf>
    <xf numFmtId="0" fontId="41" fillId="2" borderId="1" xfId="0" applyFont="1" applyFill="1" applyBorder="1" applyAlignment="1"/>
    <xf numFmtId="0" fontId="39" fillId="0" borderId="0" xfId="49" applyFont="1" applyAlignment="1">
      <alignment vertical="center"/>
    </xf>
    <xf numFmtId="0" fontId="42" fillId="4" borderId="1" xfId="49" applyFont="1" applyFill="1" applyBorder="1" applyAlignment="1">
      <alignment horizontal="center" vertical="center" wrapText="1"/>
    </xf>
    <xf numFmtId="0" fontId="43" fillId="4" borderId="1" xfId="49" applyFont="1" applyFill="1" applyBorder="1" applyAlignment="1">
      <alignment horizontal="center" vertical="center"/>
    </xf>
    <xf numFmtId="0" fontId="44" fillId="0" borderId="0" xfId="0" applyFont="1" applyFill="1" applyAlignment="1"/>
    <xf numFmtId="0" fontId="28" fillId="3" borderId="1" xfId="49" applyFont="1" applyFill="1" applyBorder="1" applyAlignment="1">
      <alignment horizontal="center" vertical="center"/>
    </xf>
    <xf numFmtId="0" fontId="45" fillId="0" borderId="0" xfId="49" applyFont="1" applyAlignment="1">
      <alignment vertical="top" wrapText="1"/>
    </xf>
    <xf numFmtId="0" fontId="46" fillId="0" borderId="0" xfId="49" applyFont="1" applyAlignment="1">
      <alignment vertical="center" wrapText="1"/>
    </xf>
    <xf numFmtId="0" fontId="47" fillId="0" borderId="0" xfId="49" applyFont="1" applyAlignment="1">
      <alignment vertical="center" wrapText="1"/>
    </xf>
    <xf numFmtId="0" fontId="48" fillId="4" borderId="1" xfId="0" applyFont="1" applyFill="1" applyBorder="1" applyAlignment="1">
      <alignment horizontal="center"/>
    </xf>
    <xf numFmtId="0" fontId="49" fillId="0" borderId="0" xfId="49" applyFont="1" applyAlignment="1">
      <alignment vertical="center" wrapText="1"/>
    </xf>
    <xf numFmtId="0" fontId="47" fillId="0" borderId="0" xfId="49" applyFont="1" applyAlignment="1">
      <alignment vertical="top" wrapText="1"/>
    </xf>
    <xf numFmtId="0" fontId="50" fillId="0" borderId="0" xfId="49" applyFont="1" applyAlignment="1">
      <alignment vertical="center" wrapText="1"/>
    </xf>
    <xf numFmtId="0" fontId="51" fillId="4" borderId="1" xfId="49" applyFont="1" applyFill="1" applyBorder="1" applyAlignment="1">
      <alignment horizontal="center" vertical="center"/>
    </xf>
    <xf numFmtId="0" fontId="52" fillId="4" borderId="1" xfId="49" applyFont="1" applyFill="1" applyBorder="1" applyAlignment="1">
      <alignment horizontal="center" vertical="center"/>
    </xf>
    <xf numFmtId="0" fontId="53" fillId="4" borderId="1" xfId="49" applyFont="1" applyFill="1" applyBorder="1" applyAlignment="1">
      <alignment horizontal="center" vertical="center"/>
    </xf>
    <xf numFmtId="176" fontId="52" fillId="0" borderId="1" xfId="49" applyNumberFormat="1" applyFont="1" applyBorder="1" applyAlignment="1">
      <alignment horizontal="center" vertical="center"/>
    </xf>
    <xf numFmtId="9" fontId="52" fillId="0" borderId="1" xfId="49" applyNumberFormat="1" applyFont="1" applyBorder="1" applyAlignment="1">
      <alignment horizontal="center" vertical="center"/>
    </xf>
    <xf numFmtId="9" fontId="54" fillId="4" borderId="1" xfId="49" applyNumberFormat="1" applyFont="1" applyFill="1" applyBorder="1" applyAlignment="1">
      <alignment horizontal="center" vertical="center"/>
    </xf>
    <xf numFmtId="9" fontId="55" fillId="0" borderId="1" xfId="49" applyNumberFormat="1" applyFont="1" applyBorder="1" applyAlignment="1">
      <alignment horizontal="center" vertical="center"/>
    </xf>
    <xf numFmtId="0" fontId="29" fillId="0" borderId="1" xfId="49" applyFont="1" applyBorder="1" applyAlignment="1">
      <alignment horizontal="center" vertical="center" wrapText="1"/>
    </xf>
    <xf numFmtId="0" fontId="56" fillId="0" borderId="0" xfId="49" applyFont="1" applyAlignment="1">
      <alignment vertical="center"/>
    </xf>
    <xf numFmtId="0" fontId="29" fillId="4" borderId="1" xfId="49" applyFont="1" applyFill="1" applyBorder="1" applyAlignment="1">
      <alignment horizontal="center" vertical="center" wrapText="1"/>
    </xf>
    <xf numFmtId="0" fontId="29" fillId="4" borderId="1" xfId="49" applyFont="1" applyFill="1" applyBorder="1" applyAlignment="1">
      <alignment horizontal="center" vertical="center"/>
    </xf>
    <xf numFmtId="9" fontId="29" fillId="4" borderId="1" xfId="3" applyFont="1" applyFill="1" applyBorder="1" applyAlignment="1" applyProtection="1">
      <alignment horizontal="center" vertical="center" wrapText="1"/>
    </xf>
    <xf numFmtId="0" fontId="30" fillId="4" borderId="1" xfId="49" applyFont="1" applyFill="1" applyBorder="1" applyAlignment="1">
      <alignment horizontal="center" vertical="center"/>
    </xf>
    <xf numFmtId="0" fontId="57" fillId="0" borderId="0" xfId="49" applyFont="1" applyAlignment="1">
      <alignment vertical="center"/>
    </xf>
    <xf numFmtId="0" fontId="46" fillId="0" borderId="0" xfId="49" applyFont="1" applyAlignment="1">
      <alignment horizontal="left" vertical="center" wrapText="1"/>
    </xf>
    <xf numFmtId="0" fontId="58" fillId="0" borderId="0" xfId="49" applyFont="1" applyAlignment="1">
      <alignment horizontal="left" vertical="center" wrapText="1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" xfId="49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sheetMetadata" Target="metadata.xml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ColorStyle" Target="colors2.xml"/><Relationship Id="rId2" Type="http://schemas.microsoft.com/office/2011/relationships/chartStyle" Target="style2.xml"/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2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sz="2400"/>
              <a:t>试卷模块分数占比</a:t>
            </a:r>
            <a:endParaRPr lang="zh-CN" altLang="en-US" sz="2400"/>
          </a:p>
        </c:rich>
      </c:tx>
      <c:layout>
        <c:manualLayout>
          <c:xMode val="edge"/>
          <c:yMode val="edge"/>
          <c:x val="0.298323437533596"/>
          <c:y val="0.033965005623069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>
                <c:manualLayout>
                  <c:x val="0.0926943507129966"/>
                  <c:y val="0.0744266976465544"/>
                </c:manualLayout>
              </c:layout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1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30175906087816"/>
                  <c:y val="1.03457479441807e-16"/>
                </c:manualLayout>
              </c:layout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2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51083840511942"/>
                  <c:y val="-0.0235861297854757"/>
                </c:manualLayout>
              </c:layout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3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vert="horz" wrap="square" lIns="38100" tIns="19050" rIns="38100" bIns="19050" anchor="ctr" anchorCtr="1"/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1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vert="horz" wrap="square" lIns="38100" tIns="19050" rIns="38100" bIns="19050" anchor="ctr" anchorCtr="1"/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1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2000" b="1" i="0" u="none" strike="noStrike" kern="1200" spc="0" baseline="0">
                    <a:solidFill>
                      <a:schemeClr val="accent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'GY测试报告模版（选择学员，即可一键生成）'!$B$14:$B$18</c:f>
              <c:strCache>
                <c:ptCount val="5"/>
                <c:pt idx="0">
                  <c:v>听力</c:v>
                </c:pt>
                <c:pt idx="1">
                  <c:v>词汇</c:v>
                </c:pt>
                <c:pt idx="2">
                  <c:v>语法</c:v>
                </c:pt>
                <c:pt idx="3">
                  <c:v>阅读</c:v>
                </c:pt>
                <c:pt idx="4">
                  <c:v>写作</c:v>
                </c:pt>
              </c:strCache>
            </c:strRef>
          </c:cat>
          <c:val>
            <c:numRef>
              <c:f>'GY测试报告模版（选择学员，即可一键生成）'!$C$14:$C$18</c:f>
              <c:numCache>
                <c:formatCode>General</c:formatCode>
                <c:ptCount val="5"/>
                <c:pt idx="0">
                  <c:v>10</c:v>
                </c:pt>
                <c:pt idx="1">
                  <c:v>9</c:v>
                </c:pt>
                <c:pt idx="2">
                  <c:v>10</c:v>
                </c:pt>
                <c:pt idx="3">
                  <c:v>6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e0bd29a3-a377-4a80-a702-047eadb6ccc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en-US" altLang="zh-CN" sz="2400" b="1">
                <a:latin typeface="微软雅黑" panose="020B0503020204020204" pitchFamily="34" charset="-122"/>
                <a:ea typeface="微软雅黑" panose="020B0503020204020204" pitchFamily="34" charset="-122"/>
              </a:rPr>
              <a:t>我的</a:t>
            </a:r>
            <a:r>
              <a:rPr lang="zh-CN" sz="2400" b="1">
                <a:latin typeface="微软雅黑" panose="020B0503020204020204" pitchFamily="34" charset="-122"/>
                <a:ea typeface="微软雅黑" panose="020B0503020204020204" pitchFamily="34" charset="-122"/>
              </a:rPr>
              <a:t>得分率与班级平均得分率</a:t>
            </a:r>
            <a:endParaRPr lang="zh-CN" sz="2400" b="1">
              <a:latin typeface="微软雅黑" panose="020B0503020204020204" pitchFamily="34" charset="-122"/>
              <a:ea typeface="微软雅黑" panose="020B0503020204020204" pitchFamily="34" charset="-122"/>
            </a:endParaRPr>
          </a:p>
        </c:rich>
      </c:tx>
      <c:layout>
        <c:manualLayout>
          <c:xMode val="edge"/>
          <c:yMode val="edge"/>
          <c:x val="0.356203853833601"/>
          <c:y val="0.013083926563629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'GY测试报告模版（选择学员，即可一键生成）'!$E$13</c:f>
              <c:strCache>
                <c:ptCount val="1"/>
                <c:pt idx="0">
                  <c:v>学员得分率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600" b="1" i="0" u="none" strike="noStrike" kern="1200" baseline="0">
                    <a:solidFill>
                      <a:srgbClr val="FF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'GY测试报告模版（选择学员，即可一键生成）'!$B$14:$B$18</c:f>
              <c:strCache>
                <c:ptCount val="5"/>
                <c:pt idx="0">
                  <c:v>听力</c:v>
                </c:pt>
                <c:pt idx="1">
                  <c:v>词汇</c:v>
                </c:pt>
                <c:pt idx="2">
                  <c:v>语法</c:v>
                </c:pt>
                <c:pt idx="3">
                  <c:v>阅读</c:v>
                </c:pt>
                <c:pt idx="4">
                  <c:v>写作</c:v>
                </c:pt>
              </c:strCache>
            </c:strRef>
          </c:cat>
          <c:val>
            <c:numRef>
              <c:f>'GY测试报告模版（选择学员，即可一键生成）'!$E$14:$E$18</c:f>
              <c:numCache>
                <c:formatCode>0%</c:formatCode>
                <c:ptCount val="5"/>
                <c:pt idx="0">
                  <c:v>0.6</c:v>
                </c:pt>
                <c:pt idx="1">
                  <c:v>1</c:v>
                </c:pt>
                <c:pt idx="2">
                  <c:v>0.6</c:v>
                </c:pt>
                <c:pt idx="3">
                  <c:v>1</c:v>
                </c:pt>
                <c:pt idx="4">
                  <c:v>0.666666666666667</c:v>
                </c:pt>
              </c:numCache>
            </c:numRef>
          </c:val>
        </c:ser>
        <c:ser>
          <c:idx val="1"/>
          <c:order val="1"/>
          <c:tx>
            <c:strRef>
              <c:f>'GY测试报告模版（选择学员，即可一键生成）'!$F$13</c:f>
              <c:strCache>
                <c:ptCount val="1"/>
                <c:pt idx="0">
                  <c:v>班级平均得分率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'GY测试报告模版（选择学员，即可一键生成）'!$B$14:$B$18</c:f>
              <c:strCache>
                <c:ptCount val="5"/>
                <c:pt idx="0">
                  <c:v>听力</c:v>
                </c:pt>
                <c:pt idx="1">
                  <c:v>词汇</c:v>
                </c:pt>
                <c:pt idx="2">
                  <c:v>语法</c:v>
                </c:pt>
                <c:pt idx="3">
                  <c:v>阅读</c:v>
                </c:pt>
                <c:pt idx="4">
                  <c:v>写作</c:v>
                </c:pt>
              </c:strCache>
            </c:strRef>
          </c:cat>
          <c:val>
            <c:numRef>
              <c:f>'GY测试报告模版（选择学员，即可一键生成）'!$F$14:$F$18</c:f>
              <c:numCache>
                <c:formatCode>0%</c:formatCode>
                <c:ptCount val="5"/>
                <c:pt idx="0">
                  <c:v>0.714285714285714</c:v>
                </c:pt>
                <c:pt idx="1">
                  <c:v>0.920634920634921</c:v>
                </c:pt>
                <c:pt idx="2">
                  <c:v>0.685714285714286</c:v>
                </c:pt>
                <c:pt idx="3">
                  <c:v>0.904761904761905</c:v>
                </c:pt>
                <c:pt idx="4">
                  <c:v>0.676190476190476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70651103"/>
        <c:axId val="1170621343"/>
      </c:barChart>
      <c:catAx>
        <c:axId val="117065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1170621343"/>
        <c:crosses val="autoZero"/>
        <c:auto val="1"/>
        <c:lblAlgn val="ctr"/>
        <c:lblOffset val="100"/>
        <c:noMultiLvlLbl val="0"/>
      </c:catAx>
      <c:valAx>
        <c:axId val="117062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7065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1782c12-b51c-4c0a-bcaf-67ffa452c5f7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24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 altLang="en-US" sz="2400"/>
              <a:t>试卷模块分数占比</a:t>
            </a:r>
            <a:endParaRPr lang="zh-CN" altLang="en-US" sz="2400"/>
          </a:p>
        </c:rich>
      </c:tx>
      <c:layout>
        <c:manualLayout>
          <c:xMode val="edge"/>
          <c:yMode val="edge"/>
          <c:x val="0.298323437533596"/>
          <c:y val="0.033965005623069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spPr/>
          <c:explosion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>
                <c:manualLayout>
                  <c:x val="0.0926943507129966"/>
                  <c:y val="0.0744266976465544"/>
                </c:manualLayout>
              </c:layout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1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0.30175906087816"/>
                  <c:y val="1.03457479441807e-16"/>
                </c:manualLayout>
              </c:layout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2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0.151083840511942"/>
                  <c:y val="-0.0235861297854757"/>
                </c:manualLayout>
              </c:layout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3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vert="horz" wrap="square" lIns="38100" tIns="19050" rIns="38100" bIns="19050" anchor="ctr" anchorCtr="1"/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1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/>
              <c:numFmt formatCode="General" sourceLinked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vert="horz" wrap="square" lIns="38100" tIns="19050" rIns="38100" bIns="19050" anchor="ctr" anchorCtr="1"/>
                <a:lstStyle/>
                <a:p>
                  <a:pPr>
                    <a:defRPr lang="zh-CN" sz="2000" b="1" i="0" u="none" strike="noStrike" kern="1200" spc="0" baseline="0">
                      <a:solidFill>
                        <a:schemeClr val="accent1"/>
                      </a:solidFill>
                      <a:latin typeface="微软雅黑" panose="020B0503020204020204" pitchFamily="34" charset="-122"/>
                      <a:ea typeface="微软雅黑" panose="020B0503020204020204" pitchFamily="34" charset="-122"/>
                      <a:cs typeface="+mn-cs"/>
                    </a:defRPr>
                  </a:pPr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2000" b="1" i="0" u="none" strike="noStrike" kern="1200" spc="0" baseline="0">
                    <a:solidFill>
                      <a:schemeClr val="accent1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'GY测试报告模版（选择学员，即可一键生成） (3)'!$B$14:$B$18</c:f>
              <c:strCache>
                <c:ptCount val="5"/>
                <c:pt idx="0">
                  <c:v>听力</c:v>
                </c:pt>
                <c:pt idx="1">
                  <c:v>词汇</c:v>
                </c:pt>
                <c:pt idx="2">
                  <c:v>语法</c:v>
                </c:pt>
                <c:pt idx="3">
                  <c:v>阅读</c:v>
                </c:pt>
                <c:pt idx="4">
                  <c:v>写作</c:v>
                </c:pt>
              </c:strCache>
            </c:strRef>
          </c:cat>
          <c:val>
            <c:numRef>
              <c:f>'GY测试报告模版（选择学员，即可一键生成） (3)'!$C$14:$C$18</c:f>
              <c:numCache>
                <c:formatCode>General</c:formatCode>
                <c:ptCount val="5"/>
                <c:pt idx="0">
                  <c:v>10</c:v>
                </c:pt>
                <c:pt idx="1">
                  <c:v>9</c:v>
                </c:pt>
                <c:pt idx="2">
                  <c:v>10</c:v>
                </c:pt>
                <c:pt idx="3">
                  <c:v>6</c:v>
                </c:pt>
                <c:pt idx="4">
                  <c:v>15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uri="{0b15fc19-7d7d-44ad-8c2d-2c3a37ce22c3}">
        <chartProps xmlns="https://web.wps.cn/et/2018/main" chartId="{e0bd29a3-a377-4a80-a702-047eadb6ccc5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2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en-US" altLang="zh-CN" sz="2400" b="1">
                <a:latin typeface="微软雅黑" panose="020B0503020204020204" pitchFamily="34" charset="-122"/>
                <a:ea typeface="微软雅黑" panose="020B0503020204020204" pitchFamily="34" charset="-122"/>
              </a:rPr>
              <a:t>我的</a:t>
            </a:r>
            <a:r>
              <a:rPr lang="zh-CN" sz="2400" b="1">
                <a:latin typeface="微软雅黑" panose="020B0503020204020204" pitchFamily="34" charset="-122"/>
                <a:ea typeface="微软雅黑" panose="020B0503020204020204" pitchFamily="34" charset="-122"/>
              </a:rPr>
              <a:t>得分率与班级平均得分率</a:t>
            </a:r>
            <a:endParaRPr lang="zh-CN" sz="2400" b="1">
              <a:latin typeface="微软雅黑" panose="020B0503020204020204" pitchFamily="34" charset="-122"/>
              <a:ea typeface="微软雅黑" panose="020B0503020204020204" pitchFamily="34" charset="-122"/>
            </a:endParaRPr>
          </a:p>
        </c:rich>
      </c:tx>
      <c:layout>
        <c:manualLayout>
          <c:xMode val="edge"/>
          <c:yMode val="edge"/>
          <c:x val="0.356203853833601"/>
          <c:y val="0.013083926563629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'GY测试报告模版（选择学员，即可一键生成） (3)'!$E$13</c:f>
              <c:strCache>
                <c:ptCount val="1"/>
                <c:pt idx="0">
                  <c:v>学员得分率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600" b="1" i="0" u="none" strike="noStrike" kern="1200" baseline="0">
                    <a:solidFill>
                      <a:srgbClr val="FF0000"/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'GY测试报告模版（选择学员，即可一键生成） (3)'!$B$14:$B$18</c:f>
              <c:strCache>
                <c:ptCount val="5"/>
                <c:pt idx="0">
                  <c:v>听力</c:v>
                </c:pt>
                <c:pt idx="1">
                  <c:v>词汇</c:v>
                </c:pt>
                <c:pt idx="2">
                  <c:v>语法</c:v>
                </c:pt>
                <c:pt idx="3">
                  <c:v>阅读</c:v>
                </c:pt>
                <c:pt idx="4">
                  <c:v>写作</c:v>
                </c:pt>
              </c:strCache>
            </c:strRef>
          </c:cat>
          <c:val>
            <c:numRef>
              <c:f>'GY测试报告模版（选择学员，即可一键生成） (3)'!$E$14:$E$18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'GY测试报告模版（选择学员，即可一键生成） (3)'!$F$13</c:f>
              <c:strCache>
                <c:ptCount val="1"/>
                <c:pt idx="0">
                  <c:v>班级平均得分率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'GY测试报告模版（选择学员，即可一键生成） (3)'!$B$14:$B$18</c:f>
              <c:strCache>
                <c:ptCount val="5"/>
                <c:pt idx="0">
                  <c:v>听力</c:v>
                </c:pt>
                <c:pt idx="1">
                  <c:v>词汇</c:v>
                </c:pt>
                <c:pt idx="2">
                  <c:v>语法</c:v>
                </c:pt>
                <c:pt idx="3">
                  <c:v>阅读</c:v>
                </c:pt>
                <c:pt idx="4">
                  <c:v>写作</c:v>
                </c:pt>
              </c:strCache>
            </c:strRef>
          </c:cat>
          <c:val>
            <c:numRef>
              <c:f>'GY测试报告模版（选择学员，即可一键生成） (3)'!$F$14:$F$18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70651103"/>
        <c:axId val="1170621343"/>
      </c:barChart>
      <c:catAx>
        <c:axId val="117065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1170621343"/>
        <c:crosses val="autoZero"/>
        <c:auto val="1"/>
        <c:lblAlgn val="ctr"/>
        <c:lblOffset val="100"/>
        <c:noMultiLvlLbl val="0"/>
      </c:catAx>
      <c:valAx>
        <c:axId val="1170621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1706511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2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61782c12-b51c-4c0a-bcaf-67ffa452c5f7}"/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177165</xdr:colOff>
      <xdr:row>5</xdr:row>
      <xdr:rowOff>58420</xdr:rowOff>
    </xdr:from>
    <xdr:to>
      <xdr:col>5</xdr:col>
      <xdr:colOff>1056640</xdr:colOff>
      <xdr:row>10</xdr:row>
      <xdr:rowOff>1784350</xdr:rowOff>
    </xdr:to>
    <xdr:graphicFrame>
      <xdr:nvGraphicFramePr>
        <xdr:cNvPr id="2" name="图表 1"/>
        <xdr:cNvGraphicFramePr/>
      </xdr:nvGraphicFramePr>
      <xdr:xfrm>
        <a:off x="382905" y="6554470"/>
        <a:ext cx="7912735" cy="40500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103505</xdr:colOff>
      <xdr:row>1</xdr:row>
      <xdr:rowOff>80645</xdr:rowOff>
    </xdr:from>
    <xdr:to>
      <xdr:col>2</xdr:col>
      <xdr:colOff>1278890</xdr:colOff>
      <xdr:row>1</xdr:row>
      <xdr:rowOff>570865</xdr:rowOff>
    </xdr:to>
    <xdr:pic>
      <xdr:nvPicPr>
        <xdr:cNvPr id="3" name="图片 2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45" y="652145"/>
          <a:ext cx="2554605" cy="490220"/>
        </a:xfrm>
        <a:prstGeom prst="rect">
          <a:avLst/>
        </a:prstGeom>
      </xdr:spPr>
    </xdr:pic>
    <xdr:clientData/>
  </xdr:twoCellAnchor>
  <xdr:twoCellAnchor>
    <xdr:from>
      <xdr:col>5</xdr:col>
      <xdr:colOff>2110740</xdr:colOff>
      <xdr:row>5</xdr:row>
      <xdr:rowOff>47625</xdr:rowOff>
    </xdr:from>
    <xdr:to>
      <xdr:col>8</xdr:col>
      <xdr:colOff>2907665</xdr:colOff>
      <xdr:row>10</xdr:row>
      <xdr:rowOff>1840865</xdr:rowOff>
    </xdr:to>
    <xdr:graphicFrame>
      <xdr:nvGraphicFramePr>
        <xdr:cNvPr id="4" name="图表 3"/>
        <xdr:cNvGraphicFramePr/>
      </xdr:nvGraphicFramePr>
      <xdr:xfrm>
        <a:off x="9349740" y="6543675"/>
        <a:ext cx="8203565" cy="41173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177165</xdr:colOff>
      <xdr:row>5</xdr:row>
      <xdr:rowOff>58420</xdr:rowOff>
    </xdr:from>
    <xdr:to>
      <xdr:col>5</xdr:col>
      <xdr:colOff>1056640</xdr:colOff>
      <xdr:row>10</xdr:row>
      <xdr:rowOff>1784350</xdr:rowOff>
    </xdr:to>
    <xdr:graphicFrame>
      <xdr:nvGraphicFramePr>
        <xdr:cNvPr id="2" name="图表 1"/>
        <xdr:cNvGraphicFramePr/>
      </xdr:nvGraphicFramePr>
      <xdr:xfrm>
        <a:off x="382905" y="6554470"/>
        <a:ext cx="7912735" cy="405003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103505</xdr:colOff>
      <xdr:row>1</xdr:row>
      <xdr:rowOff>80645</xdr:rowOff>
    </xdr:from>
    <xdr:to>
      <xdr:col>2</xdr:col>
      <xdr:colOff>1278890</xdr:colOff>
      <xdr:row>1</xdr:row>
      <xdr:rowOff>570865</xdr:rowOff>
    </xdr:to>
    <xdr:pic>
      <xdr:nvPicPr>
        <xdr:cNvPr id="3" name="图片 2"/>
        <xdr:cNvPicPr>
          <a:picLocks noChangeAspect="1"/>
        </xdr:cNvPicPr>
      </xdr:nvPicPr>
      <xdr:blipFill>
        <a:blip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45" y="652145"/>
          <a:ext cx="2554605" cy="490220"/>
        </a:xfrm>
        <a:prstGeom prst="rect">
          <a:avLst/>
        </a:prstGeom>
      </xdr:spPr>
    </xdr:pic>
    <xdr:clientData/>
  </xdr:twoCellAnchor>
  <xdr:twoCellAnchor>
    <xdr:from>
      <xdr:col>5</xdr:col>
      <xdr:colOff>2110740</xdr:colOff>
      <xdr:row>5</xdr:row>
      <xdr:rowOff>47625</xdr:rowOff>
    </xdr:from>
    <xdr:to>
      <xdr:col>8</xdr:col>
      <xdr:colOff>2907665</xdr:colOff>
      <xdr:row>10</xdr:row>
      <xdr:rowOff>1840865</xdr:rowOff>
    </xdr:to>
    <xdr:graphicFrame>
      <xdr:nvGraphicFramePr>
        <xdr:cNvPr id="4" name="图表 3"/>
        <xdr:cNvGraphicFramePr/>
      </xdr:nvGraphicFramePr>
      <xdr:xfrm>
        <a:off x="9349740" y="6543675"/>
        <a:ext cx="8203565" cy="41173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BA33"/>
  <sheetViews>
    <sheetView zoomScale="31" zoomScaleNormal="31" zoomScaleSheetLayoutView="25" topLeftCell="A5" workbookViewId="0">
      <selection activeCell="K2" sqref="K2"/>
    </sheetView>
  </sheetViews>
  <sheetFormatPr defaultColWidth="9" defaultRowHeight="14.4"/>
  <cols>
    <col min="1" max="1" width="3" style="72" customWidth="1"/>
    <col min="2" max="2" width="20.1111111111111" style="73" customWidth="1"/>
    <col min="3" max="3" width="26.5555555555556" style="72" customWidth="1"/>
    <col min="4" max="4" width="32.1111111111111" style="72" customWidth="1"/>
    <col min="5" max="5" width="23.7777777777778" style="72" customWidth="1"/>
    <col min="6" max="6" width="32.1111111111111" style="72" customWidth="1"/>
    <col min="7" max="7" width="26.8888888888889" style="72" customWidth="1"/>
    <col min="8" max="8" width="49" style="72" customWidth="1"/>
    <col min="9" max="9" width="44.2222222222222" style="72" customWidth="1"/>
    <col min="10" max="10" width="7.33333333333333" style="72" customWidth="1"/>
    <col min="11" max="11" width="34.2222222222222" style="72" customWidth="1"/>
    <col min="12" max="12" width="12.1111111111111" style="72" customWidth="1"/>
    <col min="13" max="13" width="75" style="72" customWidth="1"/>
    <col min="14" max="14" width="53.2222222222222" style="72" customWidth="1"/>
    <col min="15" max="21" width="18.1111111111111" style="72" customWidth="1"/>
    <col min="22" max="22" width="35.8888888888889" style="72" customWidth="1"/>
    <col min="23" max="16379" width="9.11111111111111" style="72"/>
    <col min="16380" max="16384" width="9" style="72"/>
  </cols>
  <sheetData>
    <row r="1" ht="45" spans="2:53">
      <c r="K1" s="74" t="s">
        <v>0</v>
      </c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ht="205.95" customHeight="1" spans="2:53">
      <c r="B2" s="75" t="str">
        <f>SUBSTITUTE("GY2 BOOK2
阶段检测学情报告 —— XXX","XXX",K2)</f>
        <v>GY2 BOOK2
阶段检测学情报告 —— 肖任霆</v>
      </c>
      <c r="C2" s="75"/>
      <c r="D2" s="75"/>
      <c r="E2" s="75"/>
      <c r="F2" s="75"/>
      <c r="G2" s="75"/>
      <c r="H2" s="75"/>
      <c r="I2" s="75"/>
      <c r="K2" s="76" t="s">
        <v>1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</row>
    <row r="3" ht="145.95" customHeight="1" spans="2:53">
      <c r="B3" s="78" t="s">
        <v>2</v>
      </c>
      <c r="C3" s="78"/>
      <c r="D3" s="79" cm="1">
        <f t="array" ref="D3">IFERROR(INDEX('学员成绩（助教填）'!$C:$U,9,MATCH($K$2,'学员成绩（助教填）'!$C$2:$U$2,0)),"")</f>
        <v>48</v>
      </c>
      <c r="E3" s="78" t="s">
        <v>3</v>
      </c>
      <c r="F3" s="78"/>
      <c r="G3" s="79" cm="1">
        <f t="array" ref="G3">IFERROR(INDEX('学员成绩（助教填）'!$C:$U,8,MATCH($K$2,'学员成绩（助教填）'!$C$2:$U$2,0)),"")</f>
        <v>37</v>
      </c>
      <c r="H3" s="78" t="s">
        <v>4</v>
      </c>
      <c r="I3" s="79">
        <f>G3+D3</f>
        <v>85</v>
      </c>
      <c r="K3" s="80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</row>
    <row r="4" ht="22.2" spans="2:53">
      <c r="B4" s="81" t="s">
        <v>5</v>
      </c>
      <c r="C4" s="81"/>
      <c r="D4" s="81"/>
      <c r="E4" s="81"/>
      <c r="F4" s="81"/>
      <c r="G4" s="81"/>
      <c r="H4" s="81"/>
      <c r="I4" s="81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</row>
    <row r="5" ht="92.4" spans="2:53">
      <c r="B5" s="81"/>
      <c r="C5" s="81"/>
      <c r="D5" s="81"/>
      <c r="E5" s="81"/>
      <c r="F5" s="81"/>
      <c r="G5" s="81"/>
      <c r="H5" s="81"/>
      <c r="I5" s="81"/>
      <c r="K5" s="80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83"/>
      <c r="AH5" s="84"/>
      <c r="AI5" s="84"/>
      <c r="AJ5" s="84"/>
      <c r="AK5" s="84"/>
      <c r="AL5" s="84"/>
      <c r="AM5" s="84"/>
      <c r="AN5" s="84"/>
      <c r="AO5" s="84"/>
      <c r="AP5" s="84"/>
      <c r="AQ5" s="84"/>
      <c r="AR5" s="84"/>
      <c r="AS5" s="84"/>
      <c r="AT5" s="84"/>
    </row>
    <row r="6" ht="36.6" spans="2:53">
      <c r="B6" s="85"/>
      <c r="C6" s="85"/>
      <c r="D6" s="85"/>
      <c r="E6" s="85"/>
      <c r="F6" s="85"/>
      <c r="G6" s="85"/>
      <c r="H6" s="85"/>
      <c r="I6" s="85"/>
      <c r="K6" s="83"/>
      <c r="L6" s="86"/>
      <c r="M6" s="6"/>
      <c r="N6" s="6"/>
      <c r="O6" s="6"/>
      <c r="P6" s="6"/>
      <c r="Q6" s="6"/>
      <c r="R6" s="6"/>
      <c r="S6" s="6"/>
      <c r="T6" s="6"/>
      <c r="U6" s="6"/>
      <c r="V6" s="6"/>
      <c r="W6" s="83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</row>
    <row r="7" ht="36.6" spans="2:53">
      <c r="B7" s="85"/>
      <c r="C7" s="85"/>
      <c r="D7" s="85"/>
      <c r="E7" s="85"/>
      <c r="F7" s="85"/>
      <c r="G7" s="85"/>
      <c r="H7" s="85"/>
      <c r="I7" s="85"/>
      <c r="K7" s="83"/>
      <c r="M7" s="6"/>
      <c r="N7" s="6"/>
      <c r="O7" s="6"/>
      <c r="P7" s="6"/>
      <c r="Q7" s="6"/>
      <c r="R7" s="6"/>
      <c r="S7" s="6"/>
      <c r="T7" s="6"/>
      <c r="U7" s="6"/>
      <c r="V7" s="6"/>
      <c r="W7" s="83"/>
      <c r="AH7" s="87"/>
      <c r="AI7" s="87"/>
      <c r="AJ7" s="87"/>
      <c r="AK7" s="87"/>
      <c r="AL7" s="87"/>
      <c r="AM7" s="87"/>
      <c r="AN7" s="87"/>
      <c r="AO7" s="87"/>
      <c r="AP7" s="87"/>
      <c r="AQ7" s="87"/>
      <c r="AR7" s="87"/>
      <c r="AS7" s="87"/>
      <c r="AT7" s="87"/>
    </row>
    <row r="8" ht="36.6" spans="2:53">
      <c r="B8" s="85"/>
      <c r="C8" s="85"/>
      <c r="D8" s="85"/>
      <c r="E8" s="85"/>
      <c r="F8" s="85"/>
      <c r="G8" s="85"/>
      <c r="H8" s="85"/>
      <c r="I8" s="85"/>
      <c r="K8" s="83"/>
      <c r="M8" s="6"/>
      <c r="N8" s="6"/>
      <c r="O8" s="6"/>
      <c r="P8" s="6"/>
      <c r="Q8" s="6"/>
      <c r="R8" s="6"/>
      <c r="S8" s="6"/>
      <c r="T8" s="6"/>
      <c r="U8" s="6"/>
      <c r="V8" s="6"/>
      <c r="W8" s="88"/>
      <c r="AH8" s="87"/>
      <c r="AI8" s="87"/>
      <c r="AJ8" s="87"/>
      <c r="AK8" s="87"/>
      <c r="AL8" s="87"/>
      <c r="AM8" s="87"/>
      <c r="AN8" s="87"/>
      <c r="AO8" s="87"/>
      <c r="AP8" s="87"/>
      <c r="AQ8" s="87"/>
      <c r="AR8" s="87"/>
      <c r="AS8" s="87"/>
      <c r="AT8" s="87"/>
    </row>
    <row r="9" ht="36.6" spans="2:53">
      <c r="B9" s="85"/>
      <c r="C9" s="85"/>
      <c r="D9" s="85"/>
      <c r="E9" s="85"/>
      <c r="F9" s="85"/>
      <c r="G9" s="85"/>
      <c r="H9" s="85"/>
      <c r="I9" s="85"/>
      <c r="K9" s="83"/>
      <c r="M9" s="6"/>
      <c r="N9" s="6"/>
      <c r="O9" s="6"/>
      <c r="P9" s="6"/>
      <c r="Q9" s="6"/>
      <c r="R9" s="6"/>
      <c r="S9" s="6"/>
      <c r="T9" s="6"/>
      <c r="U9" s="6"/>
      <c r="V9" s="6"/>
    </row>
    <row r="10" ht="36.6" spans="2:53">
      <c r="B10" s="85"/>
      <c r="C10" s="85"/>
      <c r="D10" s="85"/>
      <c r="E10" s="85"/>
      <c r="F10" s="85"/>
      <c r="G10" s="85"/>
      <c r="H10" s="85"/>
      <c r="I10" s="85"/>
      <c r="K10" s="83"/>
      <c r="M10" s="6"/>
      <c r="N10" s="6"/>
      <c r="O10" s="6"/>
      <c r="P10" s="6"/>
      <c r="Q10" s="6"/>
      <c r="R10" s="6"/>
      <c r="S10" s="6"/>
      <c r="T10" s="6"/>
      <c r="U10" s="6"/>
      <c r="V10" s="6"/>
    </row>
    <row r="11" ht="156" customHeight="1" spans="2:53">
      <c r="B11" s="85"/>
      <c r="C11" s="85"/>
      <c r="D11" s="85"/>
      <c r="E11" s="85"/>
      <c r="F11" s="85"/>
      <c r="G11" s="85"/>
      <c r="H11" s="85"/>
      <c r="I11" s="85"/>
      <c r="K11" s="6"/>
      <c r="L11" s="6"/>
      <c r="M11" s="6"/>
      <c r="N11" s="6"/>
      <c r="P11" s="6"/>
      <c r="Q11" s="6"/>
      <c r="R11" s="6"/>
      <c r="S11" s="6"/>
      <c r="T11" s="6"/>
      <c r="U11" s="6"/>
      <c r="V11" s="6"/>
    </row>
    <row r="12" ht="48.6" spans="2:53">
      <c r="B12" s="81" t="s">
        <v>6</v>
      </c>
      <c r="C12" s="81"/>
      <c r="D12" s="81"/>
      <c r="E12" s="81"/>
      <c r="F12" s="81"/>
      <c r="G12" s="81"/>
      <c r="H12" s="81"/>
      <c r="I12" s="81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</row>
    <row r="13" s="70" customFormat="1" ht="34.95" customHeight="1" spans="2:53">
      <c r="B13" s="89" t="s">
        <v>7</v>
      </c>
      <c r="C13" s="89" t="s">
        <v>8</v>
      </c>
      <c r="D13" s="89" t="s">
        <v>9</v>
      </c>
      <c r="E13" s="89" t="s">
        <v>10</v>
      </c>
      <c r="F13" s="89" t="s">
        <v>11</v>
      </c>
      <c r="G13" s="89" t="s">
        <v>12</v>
      </c>
      <c r="H13" s="89" t="s">
        <v>13</v>
      </c>
      <c r="I13" s="89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ht="108" customHeight="1" spans="2:53">
      <c r="B14" s="90" t="s">
        <v>14</v>
      </c>
      <c r="C14" s="91">
        <v>10</v>
      </c>
      <c r="D14" s="92" cm="1">
        <f t="array" ref="D14">IFERROR(INDEX('学员成绩（助教填）'!$C:$U,MATCH(B14,'学员成绩（助教填）'!$A:$A,0),MATCH($K$2,'学员成绩（助教填）'!$C$2:$U$2,0)),"")</f>
        <v>6</v>
      </c>
      <c r="E14" s="93">
        <f t="shared" ref="E14:E18" si="0">D14/C14</f>
        <v>0.6</v>
      </c>
      <c r="F14" s="94">
        <f>'学员成绩（助教填）'!B3/C14</f>
        <v>0.714285714285714</v>
      </c>
      <c r="G14" s="95" t="str">
        <f>LOOKUP(E14,'成绩等级（老师自己可修改）'!$A$2:$A$10,'成绩等级（老师自己可修改）'!$B$2:$B$10)</f>
        <v>一般</v>
      </c>
      <c r="H14" s="96" t="e" cm="1">
        <f t="array" ref="H14">INDEX(#REF!,MATCH(1,(#REF!=B14)*(#REF!=G14),0))</f>
        <v>#REF!</v>
      </c>
      <c r="I14" s="96"/>
      <c r="K14" s="6"/>
      <c r="L14" s="6"/>
      <c r="M14" s="6"/>
      <c r="N14" s="6"/>
      <c r="O14" s="6"/>
      <c r="P14" s="6"/>
      <c r="R14" s="6"/>
      <c r="S14" s="6"/>
      <c r="T14" s="6"/>
      <c r="U14" s="6"/>
      <c r="V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</row>
    <row r="15" ht="108" customHeight="1" spans="2:53">
      <c r="B15" s="90" t="s">
        <v>15</v>
      </c>
      <c r="C15" s="91">
        <v>9</v>
      </c>
      <c r="D15" s="92" cm="1">
        <f t="array" ref="D15">IFERROR(INDEX('学员成绩（助教填）'!$C:$U,MATCH(B15,'学员成绩（助教填）'!$A:$A,0),MATCH($K$2,'学员成绩（助教填）'!$C$2:$U$2,0)),"")</f>
        <v>9</v>
      </c>
      <c r="E15" s="93">
        <f t="shared" si="0"/>
        <v>1</v>
      </c>
      <c r="F15" s="94">
        <f>'学员成绩（助教填）'!B4/C15</f>
        <v>0.920634920634921</v>
      </c>
      <c r="G15" s="95" t="str">
        <f>LOOKUP(E15,'成绩等级（老师自己可修改）'!$A$2:$A$10,'成绩等级（老师自己可修改）'!$B$2:$B$10)</f>
        <v>优秀</v>
      </c>
      <c r="H15" s="96" t="e" cm="1">
        <f t="array" ref="H15">INDEX(#REF!,MATCH(1,(#REF!=B15)*(#REF!=G15),0))</f>
        <v>#REF!</v>
      </c>
      <c r="I15" s="9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ht="108" customHeight="1" spans="2:53">
      <c r="B16" s="90" t="s">
        <v>16</v>
      </c>
      <c r="C16" s="91">
        <v>10</v>
      </c>
      <c r="D16" s="92" cm="1">
        <f t="array" ref="D16">IFERROR(INDEX('学员成绩（助教填）'!$C:$U,MATCH(B16,'学员成绩（助教填）'!$A:$A,0),MATCH($K$2,'学员成绩（助教填）'!$C$2:$U$2,0)),"")</f>
        <v>6</v>
      </c>
      <c r="E16" s="93">
        <f t="shared" si="0"/>
        <v>0.6</v>
      </c>
      <c r="F16" s="94">
        <f>'学员成绩（助教填）'!B5/C16</f>
        <v>0.685714285714286</v>
      </c>
      <c r="G16" s="95" t="str">
        <f>LOOKUP(E16,'成绩等级（老师自己可修改）'!$A$2:$A$10,'成绩等级（老师自己可修改）'!$B$2:$B$10)</f>
        <v>一般</v>
      </c>
      <c r="H16" s="96" t="e" cm="1">
        <f t="array" ref="H16">INDEX(#REF!,MATCH(1,(#REF!=B16)*(#REF!=G16),0))</f>
        <v>#REF!</v>
      </c>
      <c r="I16" s="9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</row>
    <row r="17" ht="108" customHeight="1" spans="2:53">
      <c r="B17" s="90" t="s">
        <v>17</v>
      </c>
      <c r="C17" s="91">
        <v>6</v>
      </c>
      <c r="D17" s="92" cm="1">
        <f t="array" ref="D17">IFERROR(INDEX('学员成绩（助教填）'!$C:$U,MATCH(B17,'学员成绩（助教填）'!$A:$A,0),MATCH($K$2,'学员成绩（助教填）'!$C$2:$U$2,0)),"")</f>
        <v>6</v>
      </c>
      <c r="E17" s="93">
        <f t="shared" si="0"/>
        <v>1</v>
      </c>
      <c r="F17" s="94">
        <f>'学员成绩（助教填）'!B6/C17</f>
        <v>0.904761904761905</v>
      </c>
      <c r="G17" s="95" t="str">
        <f>LOOKUP(E17,'成绩等级（老师自己可修改）'!$A$2:$A$10,'成绩等级（老师自己可修改）'!$B$2:$B$10)</f>
        <v>优秀</v>
      </c>
      <c r="H17" s="96" t="e" cm="1">
        <f t="array" ref="H17">INDEX(#REF!,MATCH(1,(#REF!=B17)*(#REF!=G17),0))</f>
        <v>#REF!</v>
      </c>
      <c r="I17" s="96"/>
      <c r="J17" s="97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</row>
    <row r="18" ht="108" customHeight="1" spans="2:53">
      <c r="B18" s="90" t="s">
        <v>18</v>
      </c>
      <c r="C18" s="91">
        <v>15</v>
      </c>
      <c r="D18" s="92" cm="1">
        <f t="array" ref="D18">IFERROR(INDEX('学员成绩（助教填）'!$C:$U,MATCH(B18,'学员成绩（助教填）'!$A:$A,0),MATCH($K$2,'学员成绩（助教填）'!$C$2:$U$2,0)),"")</f>
        <v>10</v>
      </c>
      <c r="E18" s="93">
        <f t="shared" si="0"/>
        <v>0.666666666666667</v>
      </c>
      <c r="F18" s="94">
        <f>'学员成绩（助教填）'!B7/C18</f>
        <v>0.676190476190476</v>
      </c>
      <c r="G18" s="95" t="str">
        <f>LOOKUP(E18,'成绩等级（老师自己可修改）'!$A$2:$A$10,'成绩等级（老师自己可修改）'!$B$2:$B$10)</f>
        <v>一般</v>
      </c>
      <c r="H18" s="96" t="e" cm="1">
        <f t="array" ref="H18">INDEX(#REF!,MATCH(1,(#REF!=B18)*(#REF!=G18),0))</f>
        <v>#REF!</v>
      </c>
      <c r="I18" s="96"/>
      <c r="J18" s="97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</row>
    <row r="19" ht="48.6" spans="2:53">
      <c r="B19" s="81" t="s">
        <v>19</v>
      </c>
      <c r="C19" s="81"/>
      <c r="D19" s="81"/>
      <c r="E19" s="81"/>
      <c r="F19" s="81"/>
      <c r="G19" s="81"/>
      <c r="H19" s="81"/>
      <c r="I19" s="81"/>
      <c r="J19" s="97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</row>
    <row r="20" s="70" customFormat="1" ht="33" spans="2:53">
      <c r="B20" s="98" t="str" cm="1">
        <f ca="1" t="array" ref="B20:I24">OFFSET('学习连贯性平时测试成绩（助教填）'!$A$1,MATCH($K$2,'学习连贯性平时测试成绩（助教填）'!$I:$I,0)-1,0,5,8)</f>
        <v>课次</v>
      </c>
      <c r="C20" s="99" t="str">
        <v>课堂出勤</v>
      </c>
      <c r="D20" s="98" t="str">
        <v>词汇检测</v>
      </c>
      <c r="E20" s="98" t="str">
        <v>语法检测</v>
      </c>
      <c r="F20" s="99" t="str">
        <v>课次</v>
      </c>
      <c r="G20" s="99" t="str">
        <v>课堂出勤</v>
      </c>
      <c r="H20" s="99" t="str">
        <v>词汇检测</v>
      </c>
      <c r="I20" s="99" t="str">
        <v>语法检测</v>
      </c>
      <c r="K20" s="6"/>
      <c r="L20" s="6"/>
      <c r="M20" s="32"/>
      <c r="N20" s="33"/>
      <c r="O20" s="6"/>
      <c r="P20" s="6"/>
      <c r="Q20" s="6"/>
      <c r="R20" s="6"/>
      <c r="S20" s="6"/>
      <c r="T20" s="6"/>
      <c r="U20" s="6"/>
      <c r="V20" s="6"/>
      <c r="W20" s="6"/>
      <c r="X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</row>
    <row r="21" s="70" customFormat="1" ht="36.6" spans="2:53">
      <c r="B21" s="98">
        <v>1</v>
      </c>
      <c r="C21" s="98">
        <v>0</v>
      </c>
      <c r="D21" s="100">
        <v>0</v>
      </c>
      <c r="E21" s="100">
        <v>0</v>
      </c>
      <c r="F21" s="101">
        <v>5</v>
      </c>
      <c r="G21" s="98" t="str">
        <v>按时出勤</v>
      </c>
      <c r="H21" s="100" t="str">
        <v>10/13</v>
      </c>
      <c r="I21" s="100" t="str">
        <v>9/10</v>
      </c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</row>
    <row r="22" s="70" customFormat="1" ht="36.6" spans="2:53">
      <c r="B22" s="99">
        <v>2</v>
      </c>
      <c r="C22" s="98">
        <v>0</v>
      </c>
      <c r="D22" s="100">
        <v>0</v>
      </c>
      <c r="E22" s="100">
        <v>0</v>
      </c>
      <c r="F22" s="101">
        <v>6</v>
      </c>
      <c r="G22" s="98" t="str">
        <v>按时出勤</v>
      </c>
      <c r="H22" s="100" t="str">
        <v>12/14</v>
      </c>
      <c r="I22" s="100" t="str">
        <v>6/10</v>
      </c>
      <c r="J22" s="102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</row>
    <row r="23" s="70" customFormat="1" ht="36.6" spans="2:53">
      <c r="B23" s="99">
        <v>3</v>
      </c>
      <c r="C23" s="98">
        <v>0</v>
      </c>
      <c r="D23" s="100">
        <v>0</v>
      </c>
      <c r="E23" s="100">
        <v>0</v>
      </c>
      <c r="F23" s="101">
        <v>7</v>
      </c>
      <c r="G23" s="98" t="str">
        <v>按时出勤</v>
      </c>
      <c r="H23" s="100">
        <v>0</v>
      </c>
      <c r="I23" s="100">
        <v>0</v>
      </c>
      <c r="J23" s="102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</row>
    <row r="24" s="70" customFormat="1" ht="36.6" spans="2:53">
      <c r="B24" s="99">
        <v>4</v>
      </c>
      <c r="C24" s="98" t="str">
        <v>按时出勤</v>
      </c>
      <c r="D24" s="100">
        <v>0</v>
      </c>
      <c r="E24" s="100">
        <v>0</v>
      </c>
      <c r="F24" s="101" t="str">
        <v>/</v>
      </c>
      <c r="G24" s="98" t="str">
        <v>/</v>
      </c>
      <c r="H24" s="100" t="str">
        <v>/</v>
      </c>
      <c r="I24" s="100" t="str">
        <v>/</v>
      </c>
      <c r="J24" s="102"/>
    </row>
    <row r="25" s="70" customFormat="1" ht="22.2" spans="2:53">
      <c r="B25" s="73"/>
      <c r="C25" s="72"/>
      <c r="D25" s="72"/>
      <c r="E25" s="72"/>
      <c r="F25" s="72"/>
      <c r="G25" s="72"/>
      <c r="H25" s="72"/>
      <c r="I25" s="102"/>
      <c r="J25" s="102"/>
    </row>
    <row r="26" s="70" customFormat="1" ht="36.6" spans="2:53">
      <c r="B26" s="73"/>
      <c r="C26" s="72"/>
      <c r="D26" s="72"/>
      <c r="E26" s="72"/>
      <c r="F26" s="72"/>
      <c r="G26" s="72"/>
      <c r="H26" s="72"/>
      <c r="I26" s="102"/>
      <c r="J26" s="102"/>
      <c r="K26" s="103"/>
      <c r="L26" s="103"/>
      <c r="M26" s="103"/>
      <c r="N26" s="103"/>
      <c r="O26" s="103"/>
      <c r="P26" s="103"/>
      <c r="Q26" s="103"/>
      <c r="R26" s="103"/>
      <c r="S26" s="103"/>
      <c r="T26" s="103"/>
    </row>
    <row r="27" s="70" customFormat="1" ht="22.2" spans="2:53">
      <c r="B27" s="73"/>
      <c r="C27" s="72"/>
      <c r="D27" s="72"/>
      <c r="E27" s="72"/>
      <c r="F27" s="72"/>
      <c r="G27" s="72"/>
      <c r="H27" s="72"/>
      <c r="I27" s="102"/>
      <c r="J27" s="102"/>
    </row>
    <row r="28" s="70" customFormat="1" ht="252" customHeight="1" spans="2:53">
      <c r="B28" s="73"/>
      <c r="C28" s="72"/>
      <c r="D28" s="72"/>
      <c r="E28" s="72"/>
      <c r="F28" s="72"/>
      <c r="G28" s="72"/>
      <c r="H28" s="72"/>
      <c r="I28" s="71"/>
      <c r="J28" s="102"/>
      <c r="K28" s="103"/>
      <c r="L28" s="103"/>
      <c r="M28" s="103"/>
      <c r="N28" s="103"/>
      <c r="O28" s="103"/>
      <c r="P28" s="103"/>
      <c r="Q28" s="103"/>
      <c r="R28" s="103"/>
      <c r="S28" s="103"/>
      <c r="T28" s="103"/>
    </row>
    <row r="29" s="70" customFormat="1" ht="22.2" spans="2:53">
      <c r="B29" s="73"/>
      <c r="C29" s="72"/>
      <c r="D29" s="72"/>
      <c r="E29" s="72"/>
      <c r="F29" s="72"/>
      <c r="G29" s="72"/>
      <c r="H29" s="72"/>
      <c r="I29" s="72"/>
      <c r="J29" s="102"/>
    </row>
    <row r="30" s="70" customFormat="1" ht="22.2" spans="2:53">
      <c r="B30" s="73"/>
      <c r="C30" s="72"/>
      <c r="D30" s="72"/>
      <c r="E30" s="72"/>
      <c r="F30" s="72"/>
      <c r="G30" s="72"/>
      <c r="H30" s="72"/>
      <c r="I30" s="72"/>
      <c r="J30" s="102"/>
    </row>
    <row r="31" s="70" customFormat="1" ht="22.2" spans="2:53">
      <c r="B31" s="73"/>
      <c r="C31" s="72"/>
      <c r="D31" s="72"/>
      <c r="E31" s="72"/>
      <c r="F31" s="72"/>
      <c r="G31" s="72"/>
      <c r="H31" s="72"/>
      <c r="I31" s="72"/>
      <c r="J31" s="102"/>
    </row>
    <row r="32" s="71" customFormat="1" ht="17.4" spans="2:53">
      <c r="B32" s="73"/>
      <c r="C32" s="72"/>
      <c r="D32" s="72"/>
      <c r="E32" s="72"/>
      <c r="F32" s="72"/>
      <c r="G32" s="72"/>
      <c r="H32" s="72"/>
      <c r="I32" s="72"/>
    </row>
    <row r="33" ht="25.8" spans="11:20">
      <c r="K33" s="104"/>
      <c r="L33" s="104"/>
      <c r="M33" s="104"/>
      <c r="N33" s="104"/>
      <c r="O33" s="104"/>
      <c r="P33" s="104"/>
      <c r="Q33" s="104"/>
      <c r="R33" s="104"/>
      <c r="S33" s="104"/>
      <c r="T33" s="104"/>
    </row>
  </sheetData>
  <mergeCells count="17">
    <mergeCell ref="B2:I2"/>
    <mergeCell ref="B3:C3"/>
    <mergeCell ref="E3:F3"/>
    <mergeCell ref="B12:I12"/>
    <mergeCell ref="H13:I13"/>
    <mergeCell ref="H14:I14"/>
    <mergeCell ref="H15:I15"/>
    <mergeCell ref="H16:I16"/>
    <mergeCell ref="H17:I17"/>
    <mergeCell ref="H18:I18"/>
    <mergeCell ref="B19:I19"/>
    <mergeCell ref="K22:T22"/>
    <mergeCell ref="K26:T26"/>
    <mergeCell ref="K28:T28"/>
    <mergeCell ref="K33:T33"/>
    <mergeCell ref="B4:I5"/>
    <mergeCell ref="B6:I11"/>
  </mergeCells>
  <dataValidations count="3">
    <dataValidation allowBlank="1" showInputMessage="1" showErrorMessage="1" sqref="B2:H2 B3:C3 E3 H3 C6 C13:F13 H13 B4:B24 F21:F24 G14:G18"/>
    <dataValidation type="list" allowBlank="1" showInputMessage="1" showErrorMessage="1" sqref="K2">
      <formula1>学员名</formula1>
    </dataValidation>
    <dataValidation type="custom" allowBlank="1" showInputMessage="1" showErrorMessage="1" sqref="M2:M3">
      <formula1>'学员成绩（助教填）'!D2:K2</formula1>
    </dataValidation>
  </dataValidations>
  <pageMargins left="0.25" right="0.25" top="0.75" bottom="0.75" header="0.3" footer="0.3"/>
  <pageSetup paperSize="9" scale="40" orientation="portrait" horizontalDpi="1200" verticalDpi="1200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9"/>
  <sheetViews>
    <sheetView zoomScale="55" zoomScaleNormal="55" workbookViewId="0">
      <selection activeCell="P8" sqref="P8"/>
    </sheetView>
  </sheetViews>
  <sheetFormatPr defaultColWidth="9" defaultRowHeight="14.4"/>
  <cols>
    <col min="1" max="1" width="24" style="6" customWidth="1"/>
    <col min="2" max="2" width="18.7777777777778" style="43" customWidth="1"/>
    <col min="3" max="5" width="12.6666666666667" style="6" customWidth="1"/>
    <col min="6" max="6" width="14.5555555555556" style="6" customWidth="1"/>
    <col min="7" max="7" width="15.2222222222222" style="6" customWidth="1"/>
    <col min="8" max="8" width="19.1111111111111" style="6" customWidth="1"/>
    <col min="9" max="10" width="12.6666666666667" style="6" customWidth="1"/>
    <col min="11" max="16384" width="9" style="6"/>
  </cols>
  <sheetData>
    <row r="1" ht="32.4" spans="1:11">
      <c r="A1" s="56" t="s">
        <v>20</v>
      </c>
      <c r="B1" s="56"/>
      <c r="C1" s="56"/>
      <c r="D1" s="56"/>
      <c r="E1" s="56"/>
      <c r="F1" s="56"/>
      <c r="G1" s="56"/>
      <c r="H1" s="56"/>
      <c r="I1" s="56"/>
      <c r="J1" s="56"/>
    </row>
    <row r="2" ht="91.8" spans="1:11">
      <c r="A2" s="57" t="s">
        <v>7</v>
      </c>
      <c r="B2" s="57" t="s">
        <v>11</v>
      </c>
      <c r="C2" s="58" t="s">
        <v>21</v>
      </c>
      <c r="D2" s="58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1</v>
      </c>
    </row>
    <row r="3" ht="36.6" spans="1:11">
      <c r="A3" s="59" t="s">
        <v>14</v>
      </c>
      <c r="B3" s="60">
        <f t="shared" ref="B3:B8" si="0">AVERAGE(C3:J3)</f>
        <v>7.14285714285714</v>
      </c>
      <c r="C3" s="61">
        <v>2</v>
      </c>
      <c r="D3" s="61">
        <v>10</v>
      </c>
      <c r="E3" s="61">
        <v>6</v>
      </c>
      <c r="F3" s="61">
        <v>10</v>
      </c>
      <c r="G3" s="61">
        <v>6</v>
      </c>
      <c r="H3" s="61"/>
      <c r="I3" s="61">
        <v>10</v>
      </c>
      <c r="J3" s="61">
        <v>6</v>
      </c>
    </row>
    <row r="4" ht="36.6" spans="1:11">
      <c r="A4" s="59" t="s">
        <v>15</v>
      </c>
      <c r="B4" s="60">
        <f t="shared" si="0"/>
        <v>8.28571428571429</v>
      </c>
      <c r="C4" s="61">
        <v>9</v>
      </c>
      <c r="D4" s="61">
        <v>8</v>
      </c>
      <c r="E4" s="61">
        <v>9</v>
      </c>
      <c r="F4" s="61">
        <v>9</v>
      </c>
      <c r="G4" s="61">
        <v>6</v>
      </c>
      <c r="H4" s="61"/>
      <c r="I4" s="61">
        <v>8</v>
      </c>
      <c r="J4" s="61">
        <v>9</v>
      </c>
    </row>
    <row r="5" ht="36.6" spans="1:11">
      <c r="A5" s="59" t="s">
        <v>16</v>
      </c>
      <c r="B5" s="60">
        <f t="shared" si="0"/>
        <v>6.85714285714286</v>
      </c>
      <c r="C5" s="61">
        <v>4</v>
      </c>
      <c r="D5" s="61">
        <v>8</v>
      </c>
      <c r="E5" s="61">
        <v>8</v>
      </c>
      <c r="F5" s="61">
        <v>8</v>
      </c>
      <c r="G5" s="61">
        <v>7</v>
      </c>
      <c r="H5" s="61"/>
      <c r="I5" s="61">
        <v>7</v>
      </c>
      <c r="J5" s="61">
        <v>6</v>
      </c>
    </row>
    <row r="6" ht="36.6" spans="1:11">
      <c r="A6" s="59" t="s">
        <v>17</v>
      </c>
      <c r="B6" s="60">
        <f t="shared" si="0"/>
        <v>5.42857142857143</v>
      </c>
      <c r="C6" s="61">
        <v>6</v>
      </c>
      <c r="D6" s="61">
        <v>6</v>
      </c>
      <c r="E6" s="61">
        <v>6</v>
      </c>
      <c r="F6" s="61">
        <v>6</v>
      </c>
      <c r="G6" s="61">
        <v>4</v>
      </c>
      <c r="H6" s="61"/>
      <c r="I6" s="61">
        <v>4</v>
      </c>
      <c r="J6" s="61">
        <v>6</v>
      </c>
    </row>
    <row r="7" ht="36.6" spans="1:11">
      <c r="A7" s="59" t="s">
        <v>18</v>
      </c>
      <c r="B7" s="60">
        <f t="shared" si="0"/>
        <v>10.1428571428571</v>
      </c>
      <c r="C7" s="61">
        <v>8</v>
      </c>
      <c r="D7" s="61">
        <v>11</v>
      </c>
      <c r="E7" s="61">
        <v>13</v>
      </c>
      <c r="F7" s="61">
        <v>12</v>
      </c>
      <c r="G7" s="61">
        <v>10</v>
      </c>
      <c r="H7" s="61"/>
      <c r="I7" s="61">
        <v>7</v>
      </c>
      <c r="J7" s="61">
        <v>10</v>
      </c>
    </row>
    <row r="8" ht="36.6" spans="1:11">
      <c r="A8" s="62" t="s">
        <v>28</v>
      </c>
      <c r="B8" s="63">
        <f t="shared" si="0"/>
        <v>33.125</v>
      </c>
      <c r="C8" s="64">
        <f t="shared" ref="C8:J8" si="1">SUM(C3:C7)</f>
        <v>29</v>
      </c>
      <c r="D8" s="64">
        <f t="shared" si="1"/>
        <v>43</v>
      </c>
      <c r="E8" s="64">
        <f t="shared" si="1"/>
        <v>42</v>
      </c>
      <c r="F8" s="64">
        <f t="shared" si="1"/>
        <v>45</v>
      </c>
      <c r="G8" s="64">
        <f t="shared" si="1"/>
        <v>33</v>
      </c>
      <c r="H8" s="64">
        <f t="shared" si="1"/>
        <v>0</v>
      </c>
      <c r="I8" s="64">
        <f t="shared" si="1"/>
        <v>36</v>
      </c>
      <c r="J8" s="64">
        <f t="shared" si="1"/>
        <v>37</v>
      </c>
    </row>
    <row r="9" s="43" customFormat="1" ht="36.6" spans="1:11">
      <c r="A9" s="65" t="s">
        <v>29</v>
      </c>
      <c r="B9" s="66"/>
      <c r="C9" s="67">
        <v>49</v>
      </c>
      <c r="D9" s="68">
        <v>46</v>
      </c>
      <c r="E9" s="68">
        <v>48</v>
      </c>
      <c r="F9" s="68">
        <v>48</v>
      </c>
      <c r="G9" s="68">
        <v>47</v>
      </c>
      <c r="H9" s="68"/>
      <c r="I9" s="68">
        <v>47</v>
      </c>
      <c r="J9" s="68">
        <v>48</v>
      </c>
      <c r="K9" s="69"/>
    </row>
  </sheetData>
  <mergeCells count="1">
    <mergeCell ref="A1:J1"/>
  </mergeCells>
  <dataValidations count="1">
    <dataValidation allowBlank="1" showInputMessage="1" showErrorMessage="1" sqref="A2:B2 A3:A7"/>
  </dataValidations>
  <pageMargins left="0.75" right="0.75" top="1" bottom="1" header="0.5" footer="0.5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48"/>
  <sheetViews>
    <sheetView zoomScale="30" zoomScaleNormal="30" topLeftCell="A20" workbookViewId="0">
      <selection activeCell="H21" sqref="H21"/>
    </sheetView>
  </sheetViews>
  <sheetFormatPr defaultColWidth="9.11111111111111" defaultRowHeight="14.4"/>
  <cols>
    <col min="1" max="1" width="20.1111111111111" style="6" customWidth="1"/>
    <col min="2" max="2" width="26.5555555555556" style="6" customWidth="1"/>
    <col min="3" max="3" width="32.1111111111111" style="42" customWidth="1"/>
    <col min="4" max="4" width="23.7777777777778" style="42" customWidth="1"/>
    <col min="5" max="5" width="32.1111111111111" style="6" customWidth="1"/>
    <col min="6" max="6" width="26.8888888888889" style="6" customWidth="1"/>
    <col min="7" max="7" width="49" style="42" customWidth="1"/>
    <col min="8" max="8" width="44.2222222222222" style="42" customWidth="1"/>
    <col min="9" max="9" width="44.2222222222222" style="43" customWidth="1"/>
    <col min="10" max="16384" width="9.11111111111111" style="6"/>
  </cols>
  <sheetData>
    <row r="1" ht="48.6" spans="1:9">
      <c r="A1" s="44" t="s">
        <v>19</v>
      </c>
      <c r="B1" s="44"/>
      <c r="C1" s="44"/>
      <c r="D1" s="44"/>
      <c r="E1" s="44"/>
      <c r="F1" s="44"/>
      <c r="G1" s="44"/>
      <c r="H1" s="44"/>
      <c r="I1" s="44" t="s">
        <v>30</v>
      </c>
    </row>
    <row r="2" ht="33" spans="1:9">
      <c r="A2" s="45" t="s">
        <v>31</v>
      </c>
      <c r="B2" s="45" t="s">
        <v>32</v>
      </c>
      <c r="C2" s="46" t="s">
        <v>33</v>
      </c>
      <c r="D2" s="46" t="s">
        <v>34</v>
      </c>
      <c r="E2" s="45" t="s">
        <v>31</v>
      </c>
      <c r="F2" s="45" t="s">
        <v>32</v>
      </c>
      <c r="G2" s="47" t="s">
        <v>33</v>
      </c>
      <c r="H2" s="47" t="s">
        <v>34</v>
      </c>
      <c r="I2" s="48" t="s">
        <v>21</v>
      </c>
    </row>
    <row r="3" ht="66" spans="1:9">
      <c r="A3" s="49">
        <v>1</v>
      </c>
      <c r="B3" s="50" t="s">
        <v>35</v>
      </c>
      <c r="C3" s="46" t="s">
        <v>36</v>
      </c>
      <c r="D3" s="46" t="s">
        <v>36</v>
      </c>
      <c r="E3" s="49">
        <v>5</v>
      </c>
      <c r="F3" s="50" t="s">
        <v>35</v>
      </c>
      <c r="G3" s="46" t="s">
        <v>37</v>
      </c>
      <c r="H3" s="46" t="s">
        <v>38</v>
      </c>
    </row>
    <row r="4" ht="36.6" spans="1:9">
      <c r="A4" s="49">
        <v>2</v>
      </c>
      <c r="B4" s="50" t="s">
        <v>35</v>
      </c>
      <c r="C4" s="46" t="s">
        <v>39</v>
      </c>
      <c r="D4" s="46" t="s">
        <v>40</v>
      </c>
      <c r="E4" s="49">
        <v>6</v>
      </c>
      <c r="F4" s="50" t="s">
        <v>35</v>
      </c>
      <c r="G4" s="46" t="s">
        <v>41</v>
      </c>
      <c r="H4" s="46" t="s">
        <v>38</v>
      </c>
    </row>
    <row r="5" ht="36.6" spans="1:9">
      <c r="A5" s="49">
        <v>3</v>
      </c>
      <c r="B5" s="50" t="s">
        <v>35</v>
      </c>
      <c r="C5" s="46" t="s">
        <v>42</v>
      </c>
      <c r="D5" s="46" t="s">
        <v>43</v>
      </c>
      <c r="E5" s="49">
        <v>7</v>
      </c>
      <c r="F5" s="50" t="s">
        <v>35</v>
      </c>
      <c r="G5" s="46"/>
      <c r="H5" s="46"/>
    </row>
    <row r="6" ht="36.6" spans="1:9">
      <c r="A6" s="49">
        <v>4</v>
      </c>
      <c r="B6" s="50" t="s">
        <v>35</v>
      </c>
      <c r="C6" s="46" t="s">
        <v>44</v>
      </c>
      <c r="D6" s="46" t="s">
        <v>45</v>
      </c>
      <c r="E6" s="49" t="s">
        <v>46</v>
      </c>
      <c r="F6" s="50" t="s">
        <v>46</v>
      </c>
      <c r="G6" s="46" t="s">
        <v>46</v>
      </c>
      <c r="H6" s="46" t="s">
        <v>46</v>
      </c>
    </row>
    <row r="7" ht="34.05" customHeight="1"/>
    <row r="8" ht="33" spans="1:9">
      <c r="A8" s="45" t="s">
        <v>31</v>
      </c>
      <c r="B8" s="45" t="s">
        <v>32</v>
      </c>
      <c r="C8" s="46" t="s">
        <v>33</v>
      </c>
      <c r="D8" s="46" t="s">
        <v>34</v>
      </c>
      <c r="E8" s="45" t="s">
        <v>31</v>
      </c>
      <c r="F8" s="45" t="s">
        <v>32</v>
      </c>
      <c r="G8" s="47" t="s">
        <v>33</v>
      </c>
      <c r="H8" s="47" t="s">
        <v>34</v>
      </c>
      <c r="I8" s="48" t="s">
        <v>23</v>
      </c>
    </row>
    <row r="9" ht="66" spans="1:9">
      <c r="A9" s="49">
        <v>1</v>
      </c>
      <c r="B9" s="50" t="s">
        <v>35</v>
      </c>
      <c r="C9" s="46" t="s">
        <v>36</v>
      </c>
      <c r="D9" s="46" t="s">
        <v>36</v>
      </c>
      <c r="E9" s="49">
        <v>5</v>
      </c>
      <c r="F9" s="49" t="s">
        <v>35</v>
      </c>
      <c r="G9" s="51" t="s">
        <v>37</v>
      </c>
      <c r="H9" s="51" t="s">
        <v>47</v>
      </c>
    </row>
    <row r="10" ht="36.6" spans="1:9">
      <c r="A10" s="49">
        <v>2</v>
      </c>
      <c r="B10" s="50" t="s">
        <v>35</v>
      </c>
      <c r="C10" s="46" t="s">
        <v>48</v>
      </c>
      <c r="D10" s="46" t="s">
        <v>45</v>
      </c>
      <c r="E10" s="49">
        <v>6</v>
      </c>
      <c r="F10" s="49" t="s">
        <v>35</v>
      </c>
      <c r="G10" s="51" t="s">
        <v>49</v>
      </c>
      <c r="H10" s="51" t="s">
        <v>40</v>
      </c>
    </row>
    <row r="11" ht="36.6" spans="1:9">
      <c r="A11" s="49">
        <v>3</v>
      </c>
      <c r="B11" s="50" t="s">
        <v>35</v>
      </c>
      <c r="C11" s="46" t="s">
        <v>50</v>
      </c>
      <c r="D11" s="46" t="s">
        <v>51</v>
      </c>
      <c r="E11" s="49">
        <v>7</v>
      </c>
      <c r="F11" s="49" t="s">
        <v>35</v>
      </c>
      <c r="G11" s="51"/>
      <c r="H11" s="51"/>
    </row>
    <row r="12" ht="36.6" spans="1:9">
      <c r="A12" s="49">
        <v>4</v>
      </c>
      <c r="B12" s="50" t="s">
        <v>52</v>
      </c>
      <c r="C12" s="46" t="s">
        <v>53</v>
      </c>
      <c r="D12" s="46" t="s">
        <v>45</v>
      </c>
      <c r="E12" s="49" t="s">
        <v>46</v>
      </c>
      <c r="F12" s="50" t="s">
        <v>46</v>
      </c>
      <c r="G12" s="46" t="s">
        <v>46</v>
      </c>
      <c r="H12" s="46" t="s">
        <v>46</v>
      </c>
    </row>
    <row r="13" ht="37.05" customHeight="1"/>
    <row r="14" ht="33" spans="1:9">
      <c r="A14" s="45" t="s">
        <v>31</v>
      </c>
      <c r="B14" s="45" t="s">
        <v>32</v>
      </c>
      <c r="C14" s="46" t="s">
        <v>33</v>
      </c>
      <c r="D14" s="46" t="s">
        <v>34</v>
      </c>
      <c r="E14" s="45" t="s">
        <v>31</v>
      </c>
      <c r="F14" s="45" t="s">
        <v>32</v>
      </c>
      <c r="G14" s="47" t="s">
        <v>33</v>
      </c>
      <c r="H14" s="47" t="s">
        <v>34</v>
      </c>
      <c r="I14" s="48" t="s">
        <v>24</v>
      </c>
    </row>
    <row r="15" ht="66" spans="1:9">
      <c r="A15" s="49">
        <v>1</v>
      </c>
      <c r="B15" s="50" t="s">
        <v>35</v>
      </c>
      <c r="C15" s="52" t="s">
        <v>36</v>
      </c>
      <c r="D15" s="53" t="s">
        <v>36</v>
      </c>
      <c r="E15" s="54"/>
      <c r="F15" s="49" t="s">
        <v>54</v>
      </c>
      <c r="G15" s="51" t="s">
        <v>55</v>
      </c>
      <c r="H15" s="51" t="s">
        <v>56</v>
      </c>
    </row>
    <row r="16" ht="36.6" spans="1:9">
      <c r="A16" s="49">
        <v>2</v>
      </c>
      <c r="B16" s="50" t="s">
        <v>35</v>
      </c>
      <c r="C16" s="46" t="s">
        <v>48</v>
      </c>
      <c r="D16" s="46" t="s">
        <v>40</v>
      </c>
      <c r="E16" s="49">
        <v>6</v>
      </c>
      <c r="F16" s="49" t="s">
        <v>35</v>
      </c>
      <c r="G16" s="51" t="s">
        <v>57</v>
      </c>
      <c r="H16" s="51" t="s">
        <v>58</v>
      </c>
    </row>
    <row r="17" ht="36.6" spans="1:9">
      <c r="A17" s="49">
        <v>3</v>
      </c>
      <c r="B17" s="50" t="s">
        <v>35</v>
      </c>
      <c r="C17" s="46" t="s">
        <v>59</v>
      </c>
      <c r="D17" s="46" t="s">
        <v>60</v>
      </c>
      <c r="E17" s="49">
        <v>7</v>
      </c>
      <c r="F17" s="49" t="s">
        <v>35</v>
      </c>
      <c r="G17" s="51"/>
      <c r="H17" s="51"/>
    </row>
    <row r="18" ht="36.6" spans="1:9">
      <c r="A18" s="49">
        <v>4</v>
      </c>
      <c r="B18" s="50" t="s">
        <v>35</v>
      </c>
      <c r="C18" s="46" t="s">
        <v>61</v>
      </c>
      <c r="D18" s="46" t="s">
        <v>62</v>
      </c>
      <c r="E18" s="49" t="s">
        <v>46</v>
      </c>
      <c r="F18" s="50" t="s">
        <v>46</v>
      </c>
      <c r="G18" s="46" t="s">
        <v>46</v>
      </c>
      <c r="H18" s="46" t="s">
        <v>46</v>
      </c>
    </row>
    <row r="19" ht="42" customHeight="1"/>
    <row r="20" ht="33" spans="1:9">
      <c r="A20" s="45" t="s">
        <v>31</v>
      </c>
      <c r="B20" s="45" t="s">
        <v>32</v>
      </c>
      <c r="C20" s="46" t="s">
        <v>33</v>
      </c>
      <c r="D20" s="46" t="s">
        <v>34</v>
      </c>
      <c r="E20" s="45" t="s">
        <v>31</v>
      </c>
      <c r="F20" s="45" t="s">
        <v>32</v>
      </c>
      <c r="G20" s="47" t="s">
        <v>33</v>
      </c>
      <c r="H20" s="47" t="s">
        <v>34</v>
      </c>
      <c r="I20" s="48" t="s">
        <v>22</v>
      </c>
    </row>
    <row r="21" ht="66" spans="1:9">
      <c r="A21" s="49">
        <v>1</v>
      </c>
      <c r="B21" s="50" t="s">
        <v>35</v>
      </c>
      <c r="C21" s="52" t="s">
        <v>36</v>
      </c>
      <c r="D21" s="55" t="s">
        <v>36</v>
      </c>
      <c r="E21" s="49">
        <v>5</v>
      </c>
      <c r="F21" s="49" t="s">
        <v>35</v>
      </c>
      <c r="G21" s="51" t="s">
        <v>63</v>
      </c>
      <c r="H21" s="51" t="s">
        <v>47</v>
      </c>
    </row>
    <row r="22" ht="36.6" spans="1:9">
      <c r="A22" s="49">
        <v>2</v>
      </c>
      <c r="B22" s="50" t="s">
        <v>35</v>
      </c>
      <c r="C22" s="46" t="s">
        <v>39</v>
      </c>
      <c r="D22" s="46" t="s">
        <v>47</v>
      </c>
      <c r="E22" s="49">
        <v>6</v>
      </c>
      <c r="F22" s="49" t="s">
        <v>35</v>
      </c>
      <c r="G22" s="51" t="s">
        <v>41</v>
      </c>
      <c r="H22" s="51" t="s">
        <v>64</v>
      </c>
    </row>
    <row r="23" ht="36.6" spans="1:9">
      <c r="A23" s="49">
        <v>3</v>
      </c>
      <c r="B23" s="50" t="s">
        <v>35</v>
      </c>
      <c r="C23" s="46" t="s">
        <v>65</v>
      </c>
      <c r="D23" s="46" t="s">
        <v>60</v>
      </c>
      <c r="E23" s="49">
        <v>7</v>
      </c>
      <c r="F23" s="49" t="s">
        <v>35</v>
      </c>
      <c r="G23" s="51"/>
      <c r="H23" s="51"/>
    </row>
    <row r="24" ht="36.6" spans="1:9">
      <c r="A24" s="49">
        <v>4</v>
      </c>
      <c r="B24" s="50" t="s">
        <v>66</v>
      </c>
      <c r="C24" s="46" t="s">
        <v>67</v>
      </c>
      <c r="D24" s="46" t="s">
        <v>45</v>
      </c>
      <c r="E24" s="49" t="s">
        <v>46</v>
      </c>
      <c r="F24" s="50" t="s">
        <v>46</v>
      </c>
      <c r="G24" s="46" t="s">
        <v>46</v>
      </c>
      <c r="H24" s="46" t="s">
        <v>46</v>
      </c>
    </row>
    <row r="25" ht="39" customHeight="1"/>
    <row r="26" ht="33" spans="1:9">
      <c r="A26" s="45" t="s">
        <v>31</v>
      </c>
      <c r="B26" s="45" t="s">
        <v>32</v>
      </c>
      <c r="C26" s="46" t="s">
        <v>33</v>
      </c>
      <c r="D26" s="46" t="s">
        <v>34</v>
      </c>
      <c r="E26" s="45" t="s">
        <v>31</v>
      </c>
      <c r="F26" s="45" t="s">
        <v>32</v>
      </c>
      <c r="G26" s="47" t="s">
        <v>33</v>
      </c>
      <c r="H26" s="47" t="s">
        <v>34</v>
      </c>
      <c r="I26" s="48" t="s">
        <v>1</v>
      </c>
    </row>
    <row r="27" ht="36.6" spans="1:9">
      <c r="A27" s="49">
        <v>1</v>
      </c>
      <c r="B27" s="50"/>
      <c r="C27" s="46"/>
      <c r="D27" s="46"/>
      <c r="E27" s="49">
        <v>5</v>
      </c>
      <c r="F27" s="49" t="s">
        <v>35</v>
      </c>
      <c r="G27" s="51" t="s">
        <v>68</v>
      </c>
      <c r="H27" s="51" t="s">
        <v>38</v>
      </c>
    </row>
    <row r="28" ht="36.6" spans="1:9">
      <c r="A28" s="49">
        <v>2</v>
      </c>
      <c r="B28" s="50"/>
      <c r="C28" s="46"/>
      <c r="D28" s="46"/>
      <c r="E28" s="49">
        <v>6</v>
      </c>
      <c r="F28" s="49" t="s">
        <v>35</v>
      </c>
      <c r="G28" s="51" t="s">
        <v>59</v>
      </c>
      <c r="H28" s="51" t="s">
        <v>45</v>
      </c>
    </row>
    <row r="29" ht="36.6" spans="1:9">
      <c r="A29" s="49">
        <v>3</v>
      </c>
      <c r="B29" s="50"/>
      <c r="C29" s="46"/>
      <c r="D29" s="46"/>
      <c r="E29" s="49">
        <v>7</v>
      </c>
      <c r="F29" s="49" t="s">
        <v>35</v>
      </c>
      <c r="G29" s="51"/>
      <c r="H29" s="51"/>
    </row>
    <row r="30" ht="36.6" spans="1:9">
      <c r="A30" s="49">
        <v>4</v>
      </c>
      <c r="B30" s="50" t="s">
        <v>35</v>
      </c>
      <c r="C30" s="46"/>
      <c r="D30" s="46"/>
      <c r="E30" s="49" t="s">
        <v>46</v>
      </c>
      <c r="F30" s="50" t="s">
        <v>46</v>
      </c>
      <c r="G30" s="46" t="s">
        <v>46</v>
      </c>
      <c r="H30" s="46" t="s">
        <v>46</v>
      </c>
    </row>
    <row r="31" ht="37.05" customHeight="1"/>
    <row r="32" ht="33" spans="1:9">
      <c r="A32" s="45" t="s">
        <v>31</v>
      </c>
      <c r="B32" s="45" t="s">
        <v>32</v>
      </c>
      <c r="C32" s="46" t="s">
        <v>33</v>
      </c>
      <c r="D32" s="46" t="s">
        <v>34</v>
      </c>
      <c r="E32" s="45" t="s">
        <v>31</v>
      </c>
      <c r="F32" s="45" t="s">
        <v>32</v>
      </c>
      <c r="G32" s="47" t="s">
        <v>33</v>
      </c>
      <c r="H32" s="47" t="s">
        <v>34</v>
      </c>
      <c r="I32" s="48" t="s">
        <v>27</v>
      </c>
    </row>
    <row r="33" ht="36.6" spans="1:9">
      <c r="A33" s="49">
        <v>1</v>
      </c>
      <c r="B33" s="50" t="s">
        <v>35</v>
      </c>
      <c r="C33" s="46"/>
      <c r="D33" s="46"/>
      <c r="E33" s="49">
        <v>5</v>
      </c>
      <c r="F33" s="49" t="s">
        <v>35</v>
      </c>
      <c r="G33" s="51"/>
      <c r="H33" s="51"/>
    </row>
    <row r="34" ht="36.6" spans="1:9">
      <c r="A34" s="49">
        <v>2</v>
      </c>
      <c r="B34" s="50" t="s">
        <v>35</v>
      </c>
      <c r="C34" s="46"/>
      <c r="D34" s="46"/>
      <c r="E34" s="49">
        <v>6</v>
      </c>
      <c r="F34" s="49" t="s">
        <v>35</v>
      </c>
      <c r="G34" s="51" t="s">
        <v>49</v>
      </c>
      <c r="H34" s="51" t="s">
        <v>47</v>
      </c>
    </row>
    <row r="35" ht="36.6" spans="1:9">
      <c r="A35" s="49">
        <v>3</v>
      </c>
      <c r="B35" s="50" t="s">
        <v>35</v>
      </c>
      <c r="C35" s="46"/>
      <c r="D35" s="46"/>
      <c r="E35" s="49">
        <v>7</v>
      </c>
      <c r="F35" s="49" t="s">
        <v>35</v>
      </c>
      <c r="G35" s="51"/>
      <c r="H35" s="51"/>
    </row>
    <row r="36" ht="36.6" spans="1:9">
      <c r="A36" s="49">
        <v>4</v>
      </c>
      <c r="B36" s="50" t="s">
        <v>35</v>
      </c>
      <c r="C36" s="46"/>
      <c r="D36" s="46"/>
      <c r="E36" s="49" t="s">
        <v>46</v>
      </c>
      <c r="F36" s="50" t="s">
        <v>46</v>
      </c>
      <c r="G36" s="46" t="s">
        <v>46</v>
      </c>
      <c r="H36" s="46" t="s">
        <v>46</v>
      </c>
    </row>
    <row r="37" ht="34.05" customHeight="1"/>
    <row r="38" ht="33" spans="1:9">
      <c r="A38" s="45" t="s">
        <v>31</v>
      </c>
      <c r="B38" s="45" t="s">
        <v>32</v>
      </c>
      <c r="C38" s="46" t="s">
        <v>33</v>
      </c>
      <c r="D38" s="46" t="s">
        <v>34</v>
      </c>
      <c r="E38" s="45" t="s">
        <v>31</v>
      </c>
      <c r="F38" s="45" t="s">
        <v>32</v>
      </c>
      <c r="G38" s="47" t="s">
        <v>33</v>
      </c>
      <c r="H38" s="47" t="s">
        <v>34</v>
      </c>
      <c r="I38" s="48" t="s">
        <v>25</v>
      </c>
    </row>
    <row r="39" ht="66" spans="1:9">
      <c r="A39" s="49">
        <v>1</v>
      </c>
      <c r="B39" s="50" t="s">
        <v>35</v>
      </c>
      <c r="C39" s="52" t="s">
        <v>36</v>
      </c>
      <c r="D39" s="55" t="s">
        <v>69</v>
      </c>
      <c r="E39" s="49">
        <v>5</v>
      </c>
      <c r="F39" s="49" t="s">
        <v>54</v>
      </c>
      <c r="G39" s="51" t="s">
        <v>70</v>
      </c>
      <c r="H39" s="51" t="s">
        <v>38</v>
      </c>
    </row>
    <row r="40" ht="36.6" spans="1:9">
      <c r="A40" s="49">
        <v>2</v>
      </c>
      <c r="B40" s="50" t="s">
        <v>35</v>
      </c>
      <c r="C40" s="46" t="s">
        <v>71</v>
      </c>
      <c r="D40" s="46" t="s">
        <v>72</v>
      </c>
      <c r="E40" s="49">
        <v>6</v>
      </c>
      <c r="F40" s="49" t="s">
        <v>35</v>
      </c>
      <c r="G40" s="51" t="s">
        <v>41</v>
      </c>
      <c r="H40" s="51" t="s">
        <v>47</v>
      </c>
    </row>
    <row r="41" ht="36.6" spans="1:9">
      <c r="A41" s="49">
        <v>3</v>
      </c>
      <c r="B41" s="50" t="s">
        <v>35</v>
      </c>
      <c r="C41" s="46" t="s">
        <v>59</v>
      </c>
      <c r="D41" s="46" t="s">
        <v>68</v>
      </c>
      <c r="E41" s="49">
        <v>7</v>
      </c>
      <c r="F41" s="49" t="s">
        <v>35</v>
      </c>
      <c r="G41" s="51"/>
      <c r="H41" s="51"/>
    </row>
    <row r="42" ht="36.6" spans="1:9">
      <c r="A42" s="49">
        <v>4</v>
      </c>
      <c r="B42" s="50" t="s">
        <v>35</v>
      </c>
      <c r="C42" s="46" t="s">
        <v>61</v>
      </c>
      <c r="D42" s="46" t="s">
        <v>73</v>
      </c>
      <c r="E42" s="49" t="s">
        <v>46</v>
      </c>
      <c r="F42" s="50" t="s">
        <v>46</v>
      </c>
      <c r="G42" s="46" t="s">
        <v>46</v>
      </c>
      <c r="H42" s="46" t="s">
        <v>46</v>
      </c>
    </row>
    <row r="43" ht="42" customHeight="1"/>
    <row r="44" ht="33" spans="1:9">
      <c r="A44" s="45" t="s">
        <v>31</v>
      </c>
      <c r="B44" s="45" t="s">
        <v>32</v>
      </c>
      <c r="C44" s="46" t="s">
        <v>33</v>
      </c>
      <c r="D44" s="46" t="s">
        <v>34</v>
      </c>
      <c r="E44" s="45" t="s">
        <v>31</v>
      </c>
      <c r="F44" s="45" t="s">
        <v>32</v>
      </c>
      <c r="G44" s="47" t="s">
        <v>33</v>
      </c>
      <c r="H44" s="47" t="s">
        <v>34</v>
      </c>
      <c r="I44" s="48" t="s">
        <v>26</v>
      </c>
    </row>
    <row r="45" ht="66" spans="1:9">
      <c r="A45" s="49">
        <v>1</v>
      </c>
      <c r="B45" s="50" t="s">
        <v>35</v>
      </c>
      <c r="C45" s="46" t="s">
        <v>36</v>
      </c>
      <c r="D45" s="46" t="s">
        <v>36</v>
      </c>
      <c r="E45" s="49">
        <v>5</v>
      </c>
      <c r="F45" s="49" t="s">
        <v>35</v>
      </c>
      <c r="G45" s="51" t="s">
        <v>37</v>
      </c>
      <c r="H45" s="51" t="s">
        <v>74</v>
      </c>
    </row>
    <row r="46" ht="36.6" spans="1:9">
      <c r="A46" s="49">
        <v>2</v>
      </c>
      <c r="B46" s="50" t="s">
        <v>35</v>
      </c>
      <c r="C46" s="46" t="s">
        <v>48</v>
      </c>
      <c r="D46" s="46" t="s">
        <v>74</v>
      </c>
      <c r="E46" s="49">
        <v>6</v>
      </c>
      <c r="F46" s="49" t="s">
        <v>35</v>
      </c>
      <c r="G46" s="51" t="s">
        <v>41</v>
      </c>
      <c r="H46" s="51" t="s">
        <v>47</v>
      </c>
    </row>
    <row r="47" ht="36.6" spans="1:9">
      <c r="A47" s="49">
        <v>3</v>
      </c>
      <c r="B47" s="50" t="s">
        <v>35</v>
      </c>
      <c r="C47" s="46" t="s">
        <v>59</v>
      </c>
      <c r="D47" s="46" t="s">
        <v>75</v>
      </c>
      <c r="E47" s="49">
        <v>7</v>
      </c>
      <c r="F47" s="49" t="s">
        <v>76</v>
      </c>
      <c r="G47" s="51"/>
      <c r="H47" s="51"/>
    </row>
    <row r="48" ht="36.6" spans="1:9">
      <c r="A48" s="49">
        <v>4</v>
      </c>
      <c r="B48" s="50" t="s">
        <v>35</v>
      </c>
      <c r="C48" s="46" t="s">
        <v>61</v>
      </c>
      <c r="D48" s="46" t="s">
        <v>74</v>
      </c>
      <c r="E48" s="49" t="s">
        <v>46</v>
      </c>
      <c r="F48" s="50" t="s">
        <v>46</v>
      </c>
      <c r="G48" s="46" t="s">
        <v>46</v>
      </c>
      <c r="H48" s="46" t="s">
        <v>46</v>
      </c>
    </row>
  </sheetData>
  <mergeCells count="1">
    <mergeCell ref="A1:H1"/>
  </mergeCells>
  <dataValidations count="1">
    <dataValidation allowBlank="1" showInputMessage="1" showErrorMessage="1" sqref="A1:A6 A8:A12 A14:A18 A20:A24 A26:A30 A32:A36 A38:A42 A44:A48 E3:E6 E9:E12 E15:E18 E21:E24 E27:E30 E33:E36 E39:E42 E45:E48"/>
  </dataValidations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C5"/>
  <sheetViews>
    <sheetView workbookViewId="0">
      <selection activeCell="I28" sqref="I28"/>
    </sheetView>
  </sheetViews>
  <sheetFormatPr defaultColWidth="9" defaultRowHeight="14.4" outlineLevelRow="4" outlineLevelCol="2"/>
  <cols>
    <col min="1" max="2" width="9" style="6"/>
    <col min="3" max="3" width="25.1111111111111" style="6" customWidth="1"/>
    <col min="4" max="16384" width="9" style="6"/>
  </cols>
  <sheetData>
    <row r="1" spans="1:3">
      <c r="A1" s="39" t="s">
        <v>77</v>
      </c>
      <c r="B1" s="39" t="s">
        <v>78</v>
      </c>
      <c r="C1" s="39" t="s">
        <v>79</v>
      </c>
    </row>
    <row r="2" spans="1:3">
      <c r="A2" s="40">
        <v>0</v>
      </c>
      <c r="B2" s="41" t="s">
        <v>80</v>
      </c>
      <c r="C2" s="39"/>
    </row>
    <row r="3" spans="1:3">
      <c r="A3" s="40">
        <v>0.75</v>
      </c>
      <c r="B3" s="41" t="s">
        <v>81</v>
      </c>
      <c r="C3" s="39"/>
    </row>
    <row r="4" spans="1:3">
      <c r="A4" s="40">
        <v>0.8</v>
      </c>
      <c r="B4" s="41" t="s">
        <v>82</v>
      </c>
      <c r="C4" s="39"/>
    </row>
    <row r="5" spans="1:3">
      <c r="A5" s="40">
        <v>0.85</v>
      </c>
      <c r="B5" s="41" t="s">
        <v>83</v>
      </c>
      <c r="C5" s="39"/>
    </row>
  </sheetData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BA33"/>
  <sheetViews>
    <sheetView tabSelected="1" zoomScale="31" zoomScaleNormal="31" zoomScaleSheetLayoutView="25" workbookViewId="0">
      <selection activeCell="K2" sqref="K2"/>
    </sheetView>
  </sheetViews>
  <sheetFormatPr defaultColWidth="9" defaultRowHeight="14.4"/>
  <cols>
    <col min="1" max="1" width="3" style="3" customWidth="1"/>
    <col min="2" max="2" width="20.1111111111111" style="4" customWidth="1"/>
    <col min="3" max="3" width="26.5555555555556" style="3" customWidth="1"/>
    <col min="4" max="4" width="32.1111111111111" style="3" customWidth="1"/>
    <col min="5" max="5" width="23.7777777777778" style="3" customWidth="1"/>
    <col min="6" max="6" width="32.1111111111111" style="3" customWidth="1"/>
    <col min="7" max="7" width="26.8888888888889" style="3" customWidth="1"/>
    <col min="8" max="8" width="49" style="3" customWidth="1"/>
    <col min="9" max="9" width="44.2222222222222" style="3" customWidth="1"/>
    <col min="10" max="10" width="7.33333333333333" style="3" customWidth="1"/>
    <col min="11" max="11" width="34.2222222222222" style="3" customWidth="1"/>
    <col min="12" max="12" width="12.1111111111111" style="3" customWidth="1"/>
    <col min="13" max="13" width="75" style="3" customWidth="1"/>
    <col min="14" max="14" width="53.2222222222222" style="3" customWidth="1"/>
    <col min="15" max="21" width="18.1111111111111" style="3" customWidth="1"/>
    <col min="22" max="22" width="35.8888888888889" style="3" customWidth="1"/>
    <col min="23" max="16379" width="9.11111111111111" style="3"/>
    <col min="16380" max="16384" width="9" style="3"/>
  </cols>
  <sheetData>
    <row r="1" ht="45" spans="2:53">
      <c r="K1" s="5" t="s">
        <v>0</v>
      </c>
      <c r="L1" s="6"/>
      <c r="M1" s="6"/>
      <c r="N1" s="6"/>
      <c r="O1" s="6"/>
      <c r="P1" s="6"/>
      <c r="Q1" s="6"/>
      <c r="R1" s="6"/>
      <c r="S1" s="6"/>
      <c r="T1" s="6"/>
      <c r="U1" s="6"/>
      <c r="V1" s="6"/>
    </row>
    <row r="2" ht="205.95" customHeight="1" spans="2:53">
      <c r="B2" s="7" t="str">
        <f>SUBSTITUTE("GY2 BOOK2
阶段检测学情报告 —— XXX","XXX",K2)</f>
        <v>GY2 BOOK2
阶段检测学情报告 —— 徐奕璠</v>
      </c>
      <c r="C2" s="7"/>
      <c r="D2" s="7"/>
      <c r="E2" s="7"/>
      <c r="F2" s="7"/>
      <c r="G2" s="7"/>
      <c r="H2" s="7"/>
      <c r="I2" s="7"/>
      <c r="K2" s="8" t="s">
        <v>84</v>
      </c>
      <c r="L2" s="6"/>
      <c r="M2" s="6"/>
      <c r="N2" s="6"/>
      <c r="O2" s="6"/>
      <c r="P2" s="6"/>
      <c r="Q2" s="6"/>
      <c r="R2" s="6"/>
      <c r="S2" s="6"/>
      <c r="T2" s="6"/>
      <c r="U2" s="6"/>
      <c r="V2" s="6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</row>
    <row r="3" ht="145.95" customHeight="1" spans="2:53">
      <c r="B3" s="10" t="s">
        <v>2</v>
      </c>
      <c r="C3" s="10"/>
      <c r="D3" s="11" t="str" cm="1">
        <f t="array" ref="D3">IFERROR(INDEX(#REF!,9,MATCH($K$2,#REF!,0)),"")</f>
        <v/>
      </c>
      <c r="E3" s="10" t="s">
        <v>3</v>
      </c>
      <c r="F3" s="10"/>
      <c r="G3" s="11" t="str" cm="1">
        <f t="array" ref="G3">IFERROR(INDEX(#REF!,8,MATCH($K$2,#REF!,0)),"")</f>
        <v/>
      </c>
      <c r="H3" s="10" t="s">
        <v>4</v>
      </c>
      <c r="I3" s="11" t="e">
        <f>G3+D3</f>
        <v>#VALUE!</v>
      </c>
      <c r="K3" s="12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</row>
    <row r="4" ht="22.2" spans="2:53">
      <c r="B4" s="13" t="s">
        <v>5</v>
      </c>
      <c r="C4" s="13"/>
      <c r="D4" s="13"/>
      <c r="E4" s="13"/>
      <c r="F4" s="13"/>
      <c r="G4" s="13"/>
      <c r="H4" s="13"/>
      <c r="I4" s="13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</row>
    <row r="5" ht="92.4" spans="2:53">
      <c r="B5" s="13"/>
      <c r="C5" s="13"/>
      <c r="D5" s="13"/>
      <c r="E5" s="13"/>
      <c r="F5" s="13"/>
      <c r="G5" s="13"/>
      <c r="H5" s="13"/>
      <c r="I5" s="13"/>
      <c r="K5" s="12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15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</row>
    <row r="6" ht="36.6" spans="2:53">
      <c r="B6" s="17"/>
      <c r="C6" s="17"/>
      <c r="D6" s="17"/>
      <c r="E6" s="17"/>
      <c r="F6" s="17"/>
      <c r="G6" s="17"/>
      <c r="H6" s="17"/>
      <c r="I6" s="17"/>
      <c r="K6" s="15"/>
      <c r="L6" s="18"/>
      <c r="M6" s="6"/>
      <c r="N6" s="6"/>
      <c r="O6" s="6"/>
      <c r="P6" s="6"/>
      <c r="Q6" s="6"/>
      <c r="R6" s="6"/>
      <c r="S6" s="6"/>
      <c r="T6" s="6"/>
      <c r="U6" s="6"/>
      <c r="V6" s="6"/>
      <c r="W6" s="15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</row>
    <row r="7" ht="36.6" spans="2:53">
      <c r="B7" s="17"/>
      <c r="C7" s="17"/>
      <c r="D7" s="17"/>
      <c r="E7" s="17"/>
      <c r="F7" s="17"/>
      <c r="G7" s="17"/>
      <c r="H7" s="17"/>
      <c r="I7" s="17"/>
      <c r="K7" s="15"/>
      <c r="M7" s="6"/>
      <c r="N7" s="6"/>
      <c r="O7" s="6"/>
      <c r="P7" s="6"/>
      <c r="Q7" s="6"/>
      <c r="R7" s="6"/>
      <c r="S7" s="6"/>
      <c r="T7" s="6"/>
      <c r="U7" s="6"/>
      <c r="V7" s="6"/>
      <c r="W7" s="15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</row>
    <row r="8" ht="36.6" spans="2:53">
      <c r="B8" s="17"/>
      <c r="C8" s="17"/>
      <c r="D8" s="17"/>
      <c r="E8" s="17"/>
      <c r="F8" s="17"/>
      <c r="G8" s="17"/>
      <c r="H8" s="17"/>
      <c r="I8" s="17"/>
      <c r="K8" s="15"/>
      <c r="M8" s="6"/>
      <c r="N8" s="6"/>
      <c r="O8" s="6"/>
      <c r="P8" s="6"/>
      <c r="Q8" s="6"/>
      <c r="R8" s="6"/>
      <c r="S8" s="6"/>
      <c r="T8" s="6"/>
      <c r="U8" s="6"/>
      <c r="V8" s="6"/>
      <c r="W8" s="20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</row>
    <row r="9" ht="36.6" spans="2:53">
      <c r="B9" s="17"/>
      <c r="C9" s="17"/>
      <c r="D9" s="17"/>
      <c r="E9" s="17"/>
      <c r="F9" s="17"/>
      <c r="G9" s="17"/>
      <c r="H9" s="17"/>
      <c r="I9" s="17"/>
      <c r="K9" s="15"/>
      <c r="M9" s="6"/>
      <c r="N9" s="6"/>
      <c r="O9" s="6"/>
      <c r="P9" s="6"/>
      <c r="Q9" s="6"/>
      <c r="R9" s="6"/>
      <c r="S9" s="6"/>
      <c r="T9" s="6"/>
      <c r="U9" s="6"/>
      <c r="V9" s="6"/>
    </row>
    <row r="10" ht="36.6" spans="2:53">
      <c r="B10" s="17"/>
      <c r="C10" s="17"/>
      <c r="D10" s="17"/>
      <c r="E10" s="17"/>
      <c r="F10" s="17"/>
      <c r="G10" s="17"/>
      <c r="H10" s="17"/>
      <c r="I10" s="17"/>
      <c r="K10" s="15"/>
      <c r="M10" s="6"/>
      <c r="N10" s="6"/>
      <c r="O10" s="6"/>
      <c r="P10" s="6"/>
      <c r="Q10" s="6"/>
      <c r="R10" s="6"/>
      <c r="S10" s="6"/>
      <c r="T10" s="6"/>
      <c r="U10" s="6"/>
      <c r="V10" s="6"/>
    </row>
    <row r="11" ht="156" customHeight="1" spans="2:53">
      <c r="B11" s="17"/>
      <c r="C11" s="17"/>
      <c r="D11" s="17"/>
      <c r="E11" s="17"/>
      <c r="F11" s="17"/>
      <c r="G11" s="17"/>
      <c r="H11" s="17"/>
      <c r="I11" s="17"/>
      <c r="K11" s="6"/>
      <c r="L11" s="6"/>
      <c r="M11" s="6"/>
      <c r="N11" s="6"/>
      <c r="P11" s="6"/>
      <c r="Q11" s="6"/>
      <c r="R11" s="6"/>
      <c r="S11" s="6"/>
      <c r="T11" s="6"/>
      <c r="U11" s="6"/>
      <c r="V11" s="6"/>
    </row>
    <row r="12" ht="48.6" spans="2:53">
      <c r="B12" s="13" t="s">
        <v>6</v>
      </c>
      <c r="C12" s="13"/>
      <c r="D12" s="13"/>
      <c r="E12" s="13"/>
      <c r="F12" s="13"/>
      <c r="G12" s="13"/>
      <c r="H12" s="13"/>
      <c r="I12" s="13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</row>
    <row r="13" s="1" customFormat="1" ht="34.95" customHeight="1" spans="2:53">
      <c r="B13" s="21" t="s">
        <v>7</v>
      </c>
      <c r="C13" s="21" t="s">
        <v>8</v>
      </c>
      <c r="D13" s="21" t="s">
        <v>9</v>
      </c>
      <c r="E13" s="21" t="s">
        <v>10</v>
      </c>
      <c r="F13" s="21" t="s">
        <v>11</v>
      </c>
      <c r="G13" s="21" t="s">
        <v>12</v>
      </c>
      <c r="H13" s="21" t="s">
        <v>13</v>
      </c>
      <c r="I13" s="21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</row>
    <row r="14" ht="108" customHeight="1" spans="2:53">
      <c r="B14" s="22" t="s">
        <v>14</v>
      </c>
      <c r="C14" s="23">
        <v>10</v>
      </c>
      <c r="D14" s="24" t="str" cm="1">
        <f t="array" ref="D14">IFERROR(INDEX(#REF!,MATCH(B14,#REF!,0),MATCH($K$2,#REF!,0)),"")</f>
        <v/>
      </c>
      <c r="E14" s="25" t="e">
        <f t="shared" ref="E14:E18" si="0">D14/C14</f>
        <v>#VALUE!</v>
      </c>
      <c r="F14" s="26" t="e">
        <f>#REF!/C14</f>
        <v>#REF!</v>
      </c>
      <c r="G14" s="27" t="e">
        <f>LOOKUP(E14,#REF!,#REF!)</f>
        <v>#VALUE!</v>
      </c>
      <c r="H14" s="28" t="e" cm="1">
        <f t="array" ref="H14">INDEX(#REF!,MATCH(1,(#REF!=B14)*(#REF!=G14),0))</f>
        <v>#REF!</v>
      </c>
      <c r="I14" s="28"/>
      <c r="K14" s="6"/>
      <c r="L14" s="6"/>
      <c r="M14" s="6"/>
      <c r="N14" s="6"/>
      <c r="O14" s="6"/>
      <c r="P14" s="6"/>
      <c r="R14" s="6"/>
      <c r="S14" s="6"/>
      <c r="T14" s="6"/>
      <c r="U14" s="6"/>
      <c r="V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</row>
    <row r="15" ht="108" customHeight="1" spans="2:53">
      <c r="B15" s="22" t="s">
        <v>15</v>
      </c>
      <c r="C15" s="23">
        <v>9</v>
      </c>
      <c r="D15" s="24" t="str" cm="1">
        <f t="array" ref="D15">IFERROR(INDEX(#REF!,MATCH(B15,#REF!,0),MATCH($K$2,#REF!,0)),"")</f>
        <v/>
      </c>
      <c r="E15" s="25" t="e">
        <f t="shared" si="0"/>
        <v>#VALUE!</v>
      </c>
      <c r="F15" s="26" t="e">
        <f>#REF!/C15</f>
        <v>#REF!</v>
      </c>
      <c r="G15" s="27" t="e">
        <f>LOOKUP(E15,#REF!,#REF!)</f>
        <v>#VALUE!</v>
      </c>
      <c r="H15" s="28" t="e" cm="1">
        <f t="array" ref="H15">INDEX(#REF!,MATCH(1,(#REF!=B15)*(#REF!=G15),0))</f>
        <v>#REF!</v>
      </c>
      <c r="I15" s="28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</row>
    <row r="16" ht="108" customHeight="1" spans="2:53">
      <c r="B16" s="22" t="s">
        <v>16</v>
      </c>
      <c r="C16" s="23">
        <v>10</v>
      </c>
      <c r="D16" s="24" t="str" cm="1">
        <f t="array" ref="D16">IFERROR(INDEX(#REF!,MATCH(B16,#REF!,0),MATCH($K$2,#REF!,0)),"")</f>
        <v/>
      </c>
      <c r="E16" s="25" t="e">
        <f t="shared" si="0"/>
        <v>#VALUE!</v>
      </c>
      <c r="F16" s="26" t="e">
        <f>#REF!/C16</f>
        <v>#REF!</v>
      </c>
      <c r="G16" s="27" t="e">
        <f>LOOKUP(E16,#REF!,#REF!)</f>
        <v>#VALUE!</v>
      </c>
      <c r="H16" s="28" t="e" cm="1">
        <f t="array" ref="H16">INDEX(#REF!,MATCH(1,(#REF!=B16)*(#REF!=G16),0))</f>
        <v>#REF!</v>
      </c>
      <c r="I16" s="28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</row>
    <row r="17" ht="108" customHeight="1" spans="2:53">
      <c r="B17" s="22" t="s">
        <v>17</v>
      </c>
      <c r="C17" s="23">
        <v>6</v>
      </c>
      <c r="D17" s="24" t="str" cm="1">
        <f t="array" ref="D17">IFERROR(INDEX(#REF!,MATCH(B17,#REF!,0),MATCH($K$2,#REF!,0)),"")</f>
        <v/>
      </c>
      <c r="E17" s="25" t="e">
        <f t="shared" si="0"/>
        <v>#VALUE!</v>
      </c>
      <c r="F17" s="26" t="e">
        <f>#REF!/C17</f>
        <v>#REF!</v>
      </c>
      <c r="G17" s="27" t="e">
        <f>LOOKUP(E17,#REF!,#REF!)</f>
        <v>#VALUE!</v>
      </c>
      <c r="H17" s="28" t="e" cm="1">
        <f t="array" ref="H17">INDEX(#REF!,MATCH(1,(#REF!=B17)*(#REF!=G17),0))</f>
        <v>#REF!</v>
      </c>
      <c r="I17" s="28"/>
      <c r="J17" s="29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</row>
    <row r="18" ht="108" customHeight="1" spans="2:53">
      <c r="B18" s="22" t="s">
        <v>18</v>
      </c>
      <c r="C18" s="23">
        <v>15</v>
      </c>
      <c r="D18" s="24" t="str" cm="1">
        <f t="array" ref="D18">IFERROR(INDEX(#REF!,MATCH(B18,#REF!,0),MATCH($K$2,#REF!,0)),"")</f>
        <v/>
      </c>
      <c r="E18" s="25" t="e">
        <f t="shared" si="0"/>
        <v>#VALUE!</v>
      </c>
      <c r="F18" s="26" t="e">
        <f>#REF!/C18</f>
        <v>#REF!</v>
      </c>
      <c r="G18" s="27" t="e">
        <f>LOOKUP(E18,#REF!,#REF!)</f>
        <v>#VALUE!</v>
      </c>
      <c r="H18" s="28" t="e" cm="1">
        <f t="array" ref="H18">INDEX(#REF!,MATCH(1,(#REF!=B18)*(#REF!=G18),0))</f>
        <v>#REF!</v>
      </c>
      <c r="I18" s="28"/>
      <c r="J18" s="29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</row>
    <row r="19" ht="48.6" spans="2:53">
      <c r="B19" s="13" t="s">
        <v>19</v>
      </c>
      <c r="C19" s="13"/>
      <c r="D19" s="13"/>
      <c r="E19" s="13"/>
      <c r="F19" s="13"/>
      <c r="G19" s="13"/>
      <c r="H19" s="13"/>
      <c r="I19" s="13"/>
      <c r="J19" s="29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</row>
    <row r="20" s="1" customFormat="1" ht="33" spans="2:53">
      <c r="B20" s="30" t="e" cm="1">
        <f ca="1" t="array" ref="B20">OFFSET(#REF!,MATCH($K$2,#REF!,0)-1,0,5,8)</f>
        <v>#REF!</v>
      </c>
      <c r="C20" s="31"/>
      <c r="D20" s="30"/>
      <c r="E20" s="30"/>
      <c r="F20" s="31"/>
      <c r="G20" s="31"/>
      <c r="H20" s="31"/>
      <c r="I20" s="31"/>
      <c r="K20" s="6"/>
      <c r="L20" s="6"/>
      <c r="M20" s="32"/>
      <c r="N20" s="33"/>
      <c r="O20" s="6"/>
      <c r="P20" s="6"/>
      <c r="Q20" s="6"/>
      <c r="R20" s="6"/>
      <c r="S20" s="6"/>
      <c r="T20" s="6"/>
      <c r="U20" s="6"/>
      <c r="V20" s="6"/>
      <c r="W20" s="6"/>
      <c r="X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</row>
    <row r="21" s="1" customFormat="1" ht="36.6" spans="2:53">
      <c r="B21" s="30"/>
      <c r="C21" s="30"/>
      <c r="D21" s="34"/>
      <c r="E21" s="34"/>
      <c r="F21" s="35"/>
      <c r="G21" s="30"/>
      <c r="H21" s="34"/>
      <c r="I21" s="34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</row>
    <row r="22" s="1" customFormat="1" ht="36.6" spans="2:53">
      <c r="B22" s="31"/>
      <c r="C22" s="30"/>
      <c r="D22" s="34"/>
      <c r="E22" s="34"/>
      <c r="F22" s="35"/>
      <c r="G22" s="30"/>
      <c r="H22" s="34"/>
      <c r="I22" s="34"/>
      <c r="J22" s="36"/>
      <c r="K22" s="37"/>
      <c r="L22" s="37"/>
      <c r="M22" s="37"/>
      <c r="N22" s="37"/>
      <c r="O22" s="37"/>
      <c r="P22" s="37"/>
      <c r="Q22" s="37"/>
      <c r="R22" s="37"/>
      <c r="S22" s="37"/>
      <c r="T22" s="37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</row>
    <row r="23" s="1" customFormat="1" ht="36.6" spans="2:53">
      <c r="B23" s="31"/>
      <c r="C23" s="30"/>
      <c r="D23" s="34"/>
      <c r="E23" s="34"/>
      <c r="F23" s="35"/>
      <c r="G23" s="30"/>
      <c r="H23" s="34"/>
      <c r="I23" s="34"/>
      <c r="J23" s="3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</row>
    <row r="24" s="1" customFormat="1" ht="36.6" spans="2:53">
      <c r="B24" s="31"/>
      <c r="C24" s="30"/>
      <c r="D24" s="34"/>
      <c r="E24" s="34"/>
      <c r="F24" s="35"/>
      <c r="G24" s="30"/>
      <c r="H24" s="34"/>
      <c r="I24" s="34"/>
      <c r="J24" s="36"/>
    </row>
    <row r="25" s="1" customFormat="1" ht="22.2" spans="2:53">
      <c r="B25" s="4"/>
      <c r="C25" s="3"/>
      <c r="D25" s="3"/>
      <c r="E25" s="3"/>
      <c r="F25" s="3"/>
      <c r="G25" s="3"/>
      <c r="H25" s="3"/>
      <c r="I25" s="36"/>
      <c r="J25" s="36"/>
    </row>
    <row r="26" s="1" customFormat="1" ht="36.6" spans="2:53">
      <c r="B26" s="4"/>
      <c r="C26" s="3"/>
      <c r="D26" s="3"/>
      <c r="E26" s="3"/>
      <c r="F26" s="3"/>
      <c r="G26" s="3"/>
      <c r="H26" s="3"/>
      <c r="I26" s="36"/>
      <c r="J26" s="36"/>
      <c r="K26" s="37"/>
      <c r="L26" s="37"/>
      <c r="M26" s="37"/>
      <c r="N26" s="37"/>
      <c r="O26" s="37"/>
      <c r="P26" s="37"/>
      <c r="Q26" s="37"/>
      <c r="R26" s="37"/>
      <c r="S26" s="37"/>
      <c r="T26" s="37"/>
    </row>
    <row r="27" s="1" customFormat="1" ht="22.2" spans="2:53">
      <c r="B27" s="4"/>
      <c r="C27" s="3"/>
      <c r="D27" s="3"/>
      <c r="E27" s="3"/>
      <c r="F27" s="3"/>
      <c r="G27" s="3"/>
      <c r="H27" s="3"/>
      <c r="I27" s="36"/>
      <c r="J27" s="36"/>
    </row>
    <row r="28" s="1" customFormat="1" ht="252" customHeight="1" spans="2:53">
      <c r="B28" s="4"/>
      <c r="C28" s="3"/>
      <c r="D28" s="3"/>
      <c r="E28" s="3"/>
      <c r="F28" s="3"/>
      <c r="G28" s="3"/>
      <c r="H28" s="3"/>
      <c r="I28" s="2"/>
      <c r="J28" s="36"/>
      <c r="K28" s="37"/>
      <c r="L28" s="37"/>
      <c r="M28" s="37"/>
      <c r="N28" s="37"/>
      <c r="O28" s="37"/>
      <c r="P28" s="37"/>
      <c r="Q28" s="37"/>
      <c r="R28" s="37"/>
      <c r="S28" s="37"/>
      <c r="T28" s="37"/>
    </row>
    <row r="29" s="1" customFormat="1" ht="22.2" spans="2:53">
      <c r="B29" s="4"/>
      <c r="C29" s="3"/>
      <c r="D29" s="3"/>
      <c r="E29" s="3"/>
      <c r="F29" s="3"/>
      <c r="G29" s="3"/>
      <c r="H29" s="3"/>
      <c r="I29" s="3"/>
      <c r="J29" s="36"/>
    </row>
    <row r="30" s="1" customFormat="1" ht="22.2" spans="2:53">
      <c r="B30" s="4"/>
      <c r="C30" s="3"/>
      <c r="D30" s="3"/>
      <c r="E30" s="3"/>
      <c r="F30" s="3"/>
      <c r="G30" s="3"/>
      <c r="H30" s="3"/>
      <c r="I30" s="3"/>
      <c r="J30" s="36"/>
    </row>
    <row r="31" s="1" customFormat="1" ht="22.2" spans="2:53">
      <c r="B31" s="4"/>
      <c r="C31" s="3"/>
      <c r="D31" s="3"/>
      <c r="E31" s="3"/>
      <c r="F31" s="3"/>
      <c r="G31" s="3"/>
      <c r="H31" s="3"/>
      <c r="I31" s="3"/>
      <c r="J31" s="36"/>
    </row>
    <row r="32" s="2" customFormat="1" ht="17.4" spans="2:53">
      <c r="B32" s="4"/>
      <c r="C32" s="3"/>
      <c r="D32" s="3"/>
      <c r="E32" s="3"/>
      <c r="F32" s="3"/>
      <c r="G32" s="3"/>
      <c r="H32" s="3"/>
      <c r="I32" s="3"/>
    </row>
    <row r="33" ht="25.8" spans="11:20">
      <c r="K33" s="38"/>
      <c r="L33" s="38"/>
      <c r="M33" s="38"/>
      <c r="N33" s="38"/>
      <c r="O33" s="38"/>
      <c r="P33" s="38"/>
      <c r="Q33" s="38"/>
      <c r="R33" s="38"/>
      <c r="S33" s="38"/>
      <c r="T33" s="38"/>
    </row>
  </sheetData>
  <mergeCells count="17">
    <mergeCell ref="B2:I2"/>
    <mergeCell ref="B3:C3"/>
    <mergeCell ref="E3:F3"/>
    <mergeCell ref="B12:I12"/>
    <mergeCell ref="H13:I13"/>
    <mergeCell ref="H14:I14"/>
    <mergeCell ref="H15:I15"/>
    <mergeCell ref="H16:I16"/>
    <mergeCell ref="H17:I17"/>
    <mergeCell ref="H18:I18"/>
    <mergeCell ref="B19:I19"/>
    <mergeCell ref="K22:T22"/>
    <mergeCell ref="K26:T26"/>
    <mergeCell ref="K28:T28"/>
    <mergeCell ref="K33:T33"/>
    <mergeCell ref="B4:I5"/>
    <mergeCell ref="B6:I11"/>
  </mergeCells>
  <dataValidations count="3">
    <dataValidation allowBlank="1" showInputMessage="1" showErrorMessage="1" sqref="B2:H2 B3:C3 E3 H3 C6 C13:F13 H13 B4:B24 F21:F24 G14:G18"/>
    <dataValidation type="list" allowBlank="1" showInputMessage="1" showErrorMessage="1" sqref="K2">
      <formula1>'GY测试报告模版（选择学员，即可一键生成） (3)'!学员名</formula1>
    </dataValidation>
    <dataValidation type="custom" allowBlank="1" showInputMessage="1" showErrorMessage="1" sqref="M2:M3">
      <formula1>#REF!</formula1>
    </dataValidation>
  </dataValidations>
  <pageMargins left="0.25" right="0.25" top="0.75" bottom="0.75" header="0.3" footer="0.3"/>
  <pageSetup paperSize="9" scale="40" orientation="portrait" horizontalDpi="1200" verticalDpi="1200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GY测试报告模版（选择学员，即可一键生成）</vt:lpstr>
      <vt:lpstr>学员成绩（助教填）</vt:lpstr>
      <vt:lpstr>学习连贯性平时测试成绩（助教填）</vt:lpstr>
      <vt:lpstr>成绩等级（老师自己可修改）</vt:lpstr>
      <vt:lpstr>GY测试报告模版（选择学员，即可一键生成）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Xanto-work</cp:lastModifiedBy>
  <dcterms:created xsi:type="dcterms:W3CDTF">2015-01-15T16:55:00Z</dcterms:created>
  <dcterms:modified xsi:type="dcterms:W3CDTF">2026-04-25T14:34:53Z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FED16334773D4418A9278C4247A6FB4C_12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</Properties>
</file>